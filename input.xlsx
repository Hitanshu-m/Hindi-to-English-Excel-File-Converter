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90" windowWidth="22995" windowHeight="9795"/>
  </bookViews>
  <sheets>
    <sheet name="Sheet5" sheetId="1" r:id="rId1"/>
  </sheets>
  <calcPr calcId="144525"/>
</workbook>
</file>

<file path=xl/calcChain.xml><?xml version="1.0" encoding="utf-8"?>
<calcChain xmlns="http://schemas.openxmlformats.org/spreadsheetml/2006/main">
  <c r="L112" i="1" l="1"/>
  <c r="M112" i="1" s="1"/>
  <c r="M111" i="1"/>
  <c r="N111" i="1" s="1"/>
  <c r="M110" i="1"/>
  <c r="N110" i="1" s="1"/>
  <c r="M109" i="1"/>
  <c r="N109" i="1" s="1"/>
  <c r="M108" i="1"/>
  <c r="N108" i="1" s="1"/>
  <c r="M107" i="1"/>
  <c r="N107" i="1" s="1"/>
  <c r="M106" i="1"/>
  <c r="N106" i="1" s="1"/>
  <c r="L103" i="1"/>
  <c r="M103" i="1" s="1"/>
  <c r="M102" i="1"/>
  <c r="N102" i="1" s="1"/>
  <c r="M101" i="1"/>
  <c r="N101" i="1" s="1"/>
  <c r="M100" i="1"/>
  <c r="N100" i="1" s="1"/>
  <c r="M99" i="1"/>
  <c r="N99" i="1" s="1"/>
  <c r="M98" i="1"/>
  <c r="N98" i="1" s="1"/>
  <c r="M97" i="1"/>
  <c r="N97" i="1" s="1"/>
  <c r="M96" i="1"/>
  <c r="N96" i="1" s="1"/>
  <c r="M95" i="1"/>
  <c r="N95" i="1" s="1"/>
  <c r="M93" i="1"/>
  <c r="L92" i="1"/>
  <c r="M92" i="1" s="1"/>
  <c r="M91" i="1"/>
  <c r="N91" i="1" s="1"/>
  <c r="N90" i="1"/>
  <c r="M90" i="1"/>
  <c r="M89" i="1"/>
  <c r="N89" i="1" s="1"/>
  <c r="M88" i="1"/>
  <c r="N88" i="1" s="1"/>
  <c r="M87" i="1"/>
  <c r="N87" i="1" s="1"/>
  <c r="N86" i="1"/>
  <c r="M86" i="1"/>
  <c r="M85" i="1"/>
  <c r="N85" i="1" s="1"/>
  <c r="M84" i="1"/>
  <c r="N84" i="1" s="1"/>
  <c r="M83" i="1"/>
  <c r="N83" i="1" s="1"/>
  <c r="L80" i="1"/>
  <c r="M80" i="1" s="1"/>
  <c r="M79" i="1"/>
  <c r="N79" i="1" s="1"/>
  <c r="M78" i="1"/>
  <c r="N78" i="1" s="1"/>
  <c r="N77" i="1"/>
  <c r="M77" i="1"/>
  <c r="M76" i="1"/>
  <c r="N76" i="1" s="1"/>
  <c r="N80" i="1" s="1"/>
  <c r="O80" i="1" s="1"/>
  <c r="L73" i="1"/>
  <c r="N72" i="1"/>
  <c r="M72" i="1"/>
  <c r="M71" i="1"/>
  <c r="N71" i="1" s="1"/>
  <c r="M70" i="1"/>
  <c r="N70" i="1" s="1"/>
  <c r="M69" i="1"/>
  <c r="N69" i="1" s="1"/>
  <c r="N68" i="1"/>
  <c r="M68" i="1"/>
  <c r="M67" i="1"/>
  <c r="N67" i="1" s="1"/>
  <c r="M66" i="1"/>
  <c r="N66" i="1" s="1"/>
  <c r="M65" i="1"/>
  <c r="M73" i="1" s="1"/>
  <c r="L62" i="1"/>
  <c r="M62" i="1" s="1"/>
  <c r="M61" i="1"/>
  <c r="N61" i="1" s="1"/>
  <c r="M60" i="1"/>
  <c r="N60" i="1" s="1"/>
  <c r="N59" i="1"/>
  <c r="M59" i="1"/>
  <c r="M58" i="1"/>
  <c r="N58" i="1" s="1"/>
  <c r="M57" i="1"/>
  <c r="N57" i="1" s="1"/>
  <c r="M56" i="1"/>
  <c r="N56" i="1" s="1"/>
  <c r="N55" i="1"/>
  <c r="M55" i="1"/>
  <c r="L52" i="1"/>
  <c r="M52" i="1" s="1"/>
  <c r="M51" i="1"/>
  <c r="N51" i="1" s="1"/>
  <c r="N50" i="1"/>
  <c r="M50" i="1"/>
  <c r="M49" i="1"/>
  <c r="N49" i="1" s="1"/>
  <c r="M48" i="1"/>
  <c r="N48" i="1" s="1"/>
  <c r="M47" i="1"/>
  <c r="N47" i="1" s="1"/>
  <c r="N46" i="1"/>
  <c r="N52" i="1" s="1"/>
  <c r="O52" i="1" s="1"/>
  <c r="M46" i="1"/>
  <c r="L44" i="1"/>
  <c r="M43" i="1"/>
  <c r="N43" i="1" s="1"/>
  <c r="N42" i="1"/>
  <c r="M42" i="1"/>
  <c r="M41" i="1"/>
  <c r="N41" i="1" s="1"/>
  <c r="M40" i="1"/>
  <c r="N40" i="1" s="1"/>
  <c r="M39" i="1"/>
  <c r="M44" i="1" s="1"/>
  <c r="N38" i="1"/>
  <c r="M38" i="1"/>
  <c r="L35" i="1"/>
  <c r="M35" i="1" s="1"/>
  <c r="M34" i="1"/>
  <c r="N34" i="1" s="1"/>
  <c r="N33" i="1"/>
  <c r="M33" i="1"/>
  <c r="M32" i="1"/>
  <c r="N32" i="1" s="1"/>
  <c r="M31" i="1"/>
  <c r="N31" i="1" s="1"/>
  <c r="M30" i="1"/>
  <c r="N30" i="1" s="1"/>
  <c r="N35" i="1" s="1"/>
  <c r="O35" i="1" s="1"/>
  <c r="L27" i="1"/>
  <c r="M27" i="1" s="1"/>
  <c r="M26" i="1"/>
  <c r="N26" i="1" s="1"/>
  <c r="M25" i="1"/>
  <c r="N25" i="1" s="1"/>
  <c r="N24" i="1"/>
  <c r="M24" i="1"/>
  <c r="M23" i="1"/>
  <c r="N23" i="1" s="1"/>
  <c r="M22" i="1"/>
  <c r="N22" i="1" s="1"/>
  <c r="M19" i="1"/>
  <c r="L19" i="1"/>
  <c r="M18" i="1"/>
  <c r="N18" i="1" s="1"/>
  <c r="M17" i="1"/>
  <c r="N17" i="1" s="1"/>
  <c r="M16" i="1"/>
  <c r="N16" i="1" s="1"/>
  <c r="N15" i="1"/>
  <c r="M15" i="1"/>
  <c r="M14" i="1"/>
  <c r="N14" i="1" s="1"/>
  <c r="M13" i="1"/>
  <c r="N13" i="1" s="1"/>
  <c r="M12" i="1"/>
  <c r="N12" i="1" s="1"/>
  <c r="L10" i="1"/>
  <c r="M9" i="1"/>
  <c r="N9" i="1" s="1"/>
  <c r="M8" i="1"/>
  <c r="N8" i="1" s="1"/>
  <c r="N7" i="1"/>
  <c r="M7" i="1"/>
  <c r="M6" i="1"/>
  <c r="N6" i="1" s="1"/>
  <c r="M5" i="1"/>
  <c r="N5" i="1" s="1"/>
  <c r="M4" i="1"/>
  <c r="M10" i="1" s="1"/>
  <c r="N3" i="1"/>
  <c r="M3" i="1"/>
  <c r="N19" i="1" l="1"/>
  <c r="O19" i="1" s="1"/>
  <c r="N44" i="1"/>
  <c r="O44" i="1" s="1"/>
  <c r="N27" i="1"/>
  <c r="O27" i="1" s="1"/>
  <c r="N103" i="1"/>
  <c r="O103" i="1" s="1"/>
  <c r="N62" i="1"/>
  <c r="O62" i="1" s="1"/>
  <c r="N112" i="1"/>
  <c r="O112" i="1" s="1"/>
  <c r="N92" i="1"/>
  <c r="O92" i="1" s="1"/>
  <c r="N39" i="1"/>
  <c r="N4" i="1"/>
  <c r="N10" i="1" s="1"/>
  <c r="O10" i="1" s="1"/>
  <c r="O113" i="1" s="1"/>
  <c r="N65" i="1"/>
  <c r="N73" i="1" s="1"/>
  <c r="O73" i="1" s="1"/>
</calcChain>
</file>

<file path=xl/sharedStrings.xml><?xml version="1.0" encoding="utf-8"?>
<sst xmlns="http://schemas.openxmlformats.org/spreadsheetml/2006/main" count="569" uniqueCount="425">
  <si>
    <t>प्रभाग क्रमांक 1</t>
  </si>
  <si>
    <t xml:space="preserve">प्रगणक गट </t>
  </si>
  <si>
    <t xml:space="preserve">अनु क्रमांक </t>
  </si>
  <si>
    <t xml:space="preserve">पर्यवेक्षकाचे नांव </t>
  </si>
  <si>
    <t xml:space="preserve">वार्ड / प्रभागाचे नांव किंवा क्रमांक </t>
  </si>
  <si>
    <t xml:space="preserve">वार्ड / प्रभागाचे नांव किंवा स्थलांक क्रमांक </t>
  </si>
  <si>
    <t>जनगणना 2027 नुसार गट</t>
  </si>
  <si>
    <t xml:space="preserve">प्रगणकाचे नांव </t>
  </si>
  <si>
    <t>उत्तर</t>
  </si>
  <si>
    <t xml:space="preserve">दक्षिण </t>
  </si>
  <si>
    <t xml:space="preserve">पुर्व </t>
  </si>
  <si>
    <t xml:space="preserve">पश्चिम </t>
  </si>
  <si>
    <t xml:space="preserve">2011 ची जनसंख्या </t>
  </si>
  <si>
    <t xml:space="preserve">वाढ 15% प्रमाणे </t>
  </si>
  <si>
    <t>अंदाजित लोकसंख्या 2027</t>
  </si>
  <si>
    <t>0001</t>
  </si>
  <si>
    <t>0002</t>
  </si>
  <si>
    <t>पिपरा ग्राम लगत तुमसर न प सिमात खसरा नं 70</t>
  </si>
  <si>
    <t>तुमसर मेहगांव लगत न पा सीमांत खसरा क्रमांक 1469 ते गिता स्टील दुकान ते सरळ रोडाने न प पाणीची टॉकी</t>
  </si>
  <si>
    <t xml:space="preserve">न प पाणी टॉकी ते सरळ रोडाने बौध्द पुतळा श्री सचिन निवास ते सरळ श्री किशोरजी भवसागर यांचे घरा समोरील घर ते श्री सुधीरमेश्राम यांचे घर ते श्रीमती अर्चना लिलाधर पहाडे यांचे घर ते उत्तरेकडील पिपरा ग्राम लगत न प सीमांत खसरा क्रमांक 70 पर्यत </t>
  </si>
  <si>
    <t xml:space="preserve">तुमसर मेहगांव लगत तुमसर न पा सिमांत खसरा नं 1469 ते पिपरा ग्राम लगत तुमसर न प सिमात खसरा नं 70 पर्यंत </t>
  </si>
  <si>
    <t>0003</t>
  </si>
  <si>
    <t xml:space="preserve">इंदुताई मेमोरीयल प्राथमिक शाळा ते श्री लिलाधर रोडगे यांचे घर ते श्री दिनेश डोगरे यांचे घर ते श्री राजकुमार चंद्रिकापुरे यांचे घरापर्यत </t>
  </si>
  <si>
    <t xml:space="preserve">श्री सत्येन्द्र अवस्थी यांचे घर ते श्री मनोज सायकल स्टोर्स ते श्री राजकुमार चंद्रिकापुरे यांचे घरा पंर्यत </t>
  </si>
  <si>
    <t xml:space="preserve">श्री राजकुमार चंद्रिकापुरे यांचे घर ते श्री विशाल बंसोड यांचे घर ते न प रोड ओलाडुन श्री दादु मेश्राम यांचे प्लॉट पंर्यत </t>
  </si>
  <si>
    <t xml:space="preserve">इंदुताई मेमोरीयल प्राथमिक शाळा ते श्री अंबादास बोरकर यांचे घर ते श्री सत्येन्द्र अवस्थी यांचे घरापर्यत </t>
  </si>
  <si>
    <t>0004</t>
  </si>
  <si>
    <t xml:space="preserve">पिपरा ग्राम लगत तुमसर न प सीमांत खसरा नं 70 </t>
  </si>
  <si>
    <t xml:space="preserve">श्रीमती जिजा राजहंस बंसोड यांचे घर ते रोड ओलाडुन श्री किशोर भवसागर यांचे घर ते  श्री निमाई हलदार यांचे घर ते  रस्ता ओलांडून भजनलाल मेश्राम यांचे घर ते श्री राजेश वंजारी यांचे घर ते रस्ता ओलाडुन श्री अनिल रामटेके यांचे घर कुमार डोंगरे यांचे घर ते श्री डोगरे यांचे घरापंर्यत </t>
  </si>
  <si>
    <t xml:space="preserve">श्री डोगरे यांचे घर ते सरळ पिपरा रोडाने लार्ड लेडी कॉलेज ते पिपरा ग्राम लगत तुमसर न प सीमांत खसरा क्रमांक 70 पंर्यत </t>
  </si>
  <si>
    <t>श्री अशोक घोडीचोर यांचे घर ते श्रीमती जिजा राजहंस बंसोड यांचे घर ते पिपरा ग्राम लगत तुमसर न प सीमांत खसरा क्रमांक 70</t>
  </si>
  <si>
    <t>प्रभाग क्रमांक 10</t>
  </si>
  <si>
    <t>0010</t>
  </si>
  <si>
    <t>0029</t>
  </si>
  <si>
    <t xml:space="preserve">श्री दादु मेश्राम यांचे खाली प्लॉट जवळील झेंडा चौक ते सरळ रोडाने रमाई पुतळाच्या मागचा भाग ते श्री रमाकांत बोरघरे यांचे घरा पर्यत </t>
  </si>
  <si>
    <t>श्री भरत मेश्राम यांचे घरा पासुन ते श्री एस व्ही कारंजकर यांचे घरापंर्यत</t>
  </si>
  <si>
    <t xml:space="preserve">श्री रमाकांत बोरघरे यांचे घरा पासुन ते श्री एस व्ही कारंजकर यांचे घरापंर्यत </t>
  </si>
  <si>
    <t xml:space="preserve">श्री भरत मेश्राम यांचे घर ते श्री दादु मेश्राम यांचे खाली प्लॉट जवळील झेंडा चौक पंर्यत </t>
  </si>
  <si>
    <t>0030</t>
  </si>
  <si>
    <t xml:space="preserve">श्री महात्मा ज्योतीबा फूले सार्वजनिक सभागृह व वाचनालय ते श्री दशरथ धारंगे यांचे घर ते श्रीमती शंकंतला जिभकाटे यांचे घरा पंर्यत </t>
  </si>
  <si>
    <t>श्रीमती प्रभाताई निवास ते श्री फुलेकर कॅम्पस जवळील रिकामे प्लॉट पंर्यत</t>
  </si>
  <si>
    <t xml:space="preserve">श्रीमती शंकंतला जिभकाटे यांचे घरा ते श्रीमती प्रभाताई निवास पंर्यत </t>
  </si>
  <si>
    <t>श्री फुलेकर कॅम्पस जवळील रिकामे प्लॉट ते श्री महात्मा ज्योतीबा फूले सार्वजनिक सभागृह व वाचनालय पंर्यत</t>
  </si>
  <si>
    <t>0031</t>
  </si>
  <si>
    <t xml:space="preserve">श्री प्रविण भोयर यांच्या घरा जवळील ईलेक्टीक पोल पासुन ते श्रीमती ममता वानखेडे यांचे घरा पंर्यत </t>
  </si>
  <si>
    <t>श्री सुभाष मेश्राम यांचे घर ते श्री सोनु नागदेवे यांचे घरा पंर्यत</t>
  </si>
  <si>
    <t>श्री सोनु नागदेवे यांचे घर ते श्री प्रवीण भुरे यांचे घरा पंर्यत</t>
  </si>
  <si>
    <t>श्रीमती ममता वानखेडे यांचे  घर ते श्री संभाष मेश्राम यांचे घरा पंर्यत</t>
  </si>
  <si>
    <t>0032</t>
  </si>
  <si>
    <t xml:space="preserve">झेंडा चौक लगत श्री महेश बळीराम राउत यांचे घर ते जुनी विशाल हायस्कूल समोरील विघुत खांब पंर्यत </t>
  </si>
  <si>
    <t xml:space="preserve">इंदुताई मेमोरीयल हायस्कूल ते जुनी विशाल हायस्कूल समोरील विघुत खांब पंर्यत </t>
  </si>
  <si>
    <t xml:space="preserve">जुनी विशाल हायस्कूल समोरील विघुत खांब पंर्यत </t>
  </si>
  <si>
    <t xml:space="preserve">इंदुताई मेमोरीयल हायस्कूल ते झेंडा चौक लगत श्री महेश बळीराम राउत यांचे घरापंर्यत </t>
  </si>
  <si>
    <t>प्रभाग क्रमांक 2</t>
  </si>
  <si>
    <t>0005</t>
  </si>
  <si>
    <t xml:space="preserve">पिपरा ग्राम लगत तुमसर न प सीमांत खसरा नं 81 ते खसरा नं. 84 पंर्यत </t>
  </si>
  <si>
    <t xml:space="preserve">श्री द्वारकाप्रसाद बिनझाडे ते  श्री अमरनाथ जीवनलाल रगडे यांचे घर ते तालुका लघु पशु वैघकीय चिकीत्सालय ते नगरपरिषद प्राथमिक शाळा ( विशाल हायस्कूल ) पंर्यत </t>
  </si>
  <si>
    <t xml:space="preserve">नगरपरिषद प्राथमिक शाळा ( विशाल हायस्कूल ) ते  पिपरा ग्राम लगत तुमसर न प सीमांत खसरा क्रमांक 84 पंर्यत </t>
  </si>
  <si>
    <t xml:space="preserve">श्री बी जी मेश्राम यांचे घर ते श्री द्वारकाप्रसाद बिनझाडे  यांचे घरापंर्यत </t>
  </si>
  <si>
    <t>0006</t>
  </si>
  <si>
    <t xml:space="preserve">पिपरा ग्राम लगत तुमसर न प सीमांत खसरा नं 96 ते खसरा नं. 155 पंर्यत </t>
  </si>
  <si>
    <t xml:space="preserve">भुमी अभिलेख कार्यालय ते तहसिल कार्यालय पटांगण ते अर्जनवीस कॉम्पलेक्स ते श्री पांडुरंग भोगाडे यांचे घर ते ते श्री रामश्वर तिडके यांचे घर ते नगरपरिषद सार्वजनिक संडास ते श्रीमती लिलाबाई गजभिये यांचे घर ते संत चोखामाळा स्मारक पंर्यत </t>
  </si>
  <si>
    <t xml:space="preserve">संत चोखामाळा स्मारक श्रीमती लिलाबाई गजभिये यांचे घर ते श्रीमती कुंदाताई शेवटे यांचे घर ते तुमसर नगरपरिषद सीमांत खसरा नं. 155 पर्यत </t>
  </si>
  <si>
    <t xml:space="preserve">पिपरा ग्राम लगत तुमसर न प सीमांत खसरा नं 96 ते नवीन तलाठी कार्यालय ते भुमी अभिलेख कार्यालय पंर्यत </t>
  </si>
  <si>
    <t>प्रभाग क्रमांक 7</t>
  </si>
  <si>
    <t>0007</t>
  </si>
  <si>
    <t xml:space="preserve">येरली ग्राम लगत तुमसर न. प. सीमांत खसरा क्रमांक 156  (गोपाल वाडी ) </t>
  </si>
  <si>
    <t xml:space="preserve">श्री नारबाजी पाटील यांचे घरापासून ते सरळ न. प. रोडाने न. प. चिंतामण बिसने प्राथ. शाळा श्री सलाम तुरक यांचे घर ते तुमसर येरली रोडचा कोपरा. </t>
  </si>
  <si>
    <t xml:space="preserve">तुमसर येरली रोडचा कोपरा. </t>
  </si>
  <si>
    <t>गोपाल वाडी ते तुमसर न. प. सीमांत खसरा क्रमांक 156</t>
  </si>
  <si>
    <t>0008</t>
  </si>
  <si>
    <t xml:space="preserve">श्री बडवाईक यांचे वर्कशॉप ते नगर परिषद हायमास्ट लाईट पंर्यत </t>
  </si>
  <si>
    <t xml:space="preserve">श्री सोनकुसरे यांचे घरापासून ते  श्री बडवाईक यांचे वर्कशॉप पंर्यत </t>
  </si>
  <si>
    <t xml:space="preserve"> नगर परिषद हायमास्ट लाईट ते श्री सोनकुसरे यांचे घरा पंर्यत </t>
  </si>
  <si>
    <t xml:space="preserve"> श्री बडवाईक यांचे वर्कशॉपच्या कोपरा </t>
  </si>
  <si>
    <t>0009</t>
  </si>
  <si>
    <t xml:space="preserve">हबीब मंजील कोपरा ते श्री पाटील यांचे घरा पंर्यत </t>
  </si>
  <si>
    <t xml:space="preserve">बडा बाजार चौक ते श्री सोनकुसरे यांचे घरासमोरील घर </t>
  </si>
  <si>
    <t xml:space="preserve">हबीब मंजील कोपरा ते बडा बाजार चौक पंर्यत </t>
  </si>
  <si>
    <t xml:space="preserve">श्री पाटील यांचे घरापासुन ते श्री सोनकुसरे यांचे घरा समोरील घरा पंर्यत </t>
  </si>
  <si>
    <t xml:space="preserve">येरली ग्राम लगत तुमसर न. प. सीमांत खसरा क्रमांक 278(टुमणी नाला)  ते सरळ येरली रोडाने नगरपरिषद सार्वजनिक शौचालय ते बडाबाजार चौक श्री हनुमान मंदीर पंर्यत </t>
  </si>
  <si>
    <t xml:space="preserve">श्री वासुदेव भुरे यांचे घरा पासुन ते श्री रोहीत मेश्राम यांचे घर ते शश्री अभिजीत गोडबोले यांचे घर ते श्री रुपचंद गजभिये यांचे घरा जवळील डाँ आबेडकर पुतळया ते सरळ रोडाने रविन बुध्द विहार सामोरील रिकामी जागा ते  ग्राम लगत तुमसर न. प. सीमांत खसरा क्रमांक 280(टुमणी नाला) पंर्यत </t>
  </si>
  <si>
    <t xml:space="preserve">येरली ग्राम लगत तुमसर न. प. सीमांत खसरा क्रमांक 278(टुमणी नाला) ते खसरा क्रमांक 280(टुमणी नाला) पंर्यत </t>
  </si>
  <si>
    <t xml:space="preserve">श्री भुरे यांचे घरा पासुन ते बडाबाजार चौक श्री हनुमान मंदीर पंर्यत न. प. सीमांत खसरा क्रमांक 280 (डोंगरला नाला) पंर्यत </t>
  </si>
  <si>
    <t>0011</t>
  </si>
  <si>
    <t xml:space="preserve">गौसीया मदरसा ते सरळ रोडाने श्री नरेन्द्र मेश्राम यांचा बाजुचा रिकामा प्लॅाट ते श्री मानवेन्द्र डोंगरे यांचे घर ते नवीन बुध्द विहार ते येरली ग्राम लगत नगरपरिषद सीमांत </t>
  </si>
  <si>
    <t xml:space="preserve">मदरसा ते नगरपरिषद रोडाने सरळ श्री गिरधारी कनांजे यांचे घर ते श्री दुर्गादास रगडे यांचे घरा बाजुची गल्ली (रोड ) पंर्यत </t>
  </si>
  <si>
    <t xml:space="preserve">श्री दुर्गादास रगडे यांचे घरा बाजुची गल्ली (रोड ) ते जवळील मकान ते श्री खडसे यांचे घरा समोरून ते श्री इंगोले यांचे घरा पंर्यत </t>
  </si>
  <si>
    <t>गोसीया मदरसा से श्री नरेन्द्र मेश्राम यांचा घरा बाजुचा रिकामी प्लॉट</t>
  </si>
  <si>
    <t>प्रभाग क्रमांक 3</t>
  </si>
  <si>
    <t>0012</t>
  </si>
  <si>
    <t xml:space="preserve">तुमसर न. प. सीमांत खसरा क्रमांक 318 ते 319 (डोगरला नाला ) श्री रमेश भांडके यांचे घर </t>
  </si>
  <si>
    <t xml:space="preserve">श्री रमेश भांडके यांचे घरा पासुन ते श्री मनीष कनोजे यांचे घर पंर्यत </t>
  </si>
  <si>
    <t xml:space="preserve">तुमसर न. प. सीमांत खसरा क्रमांक  319 (डोगरला नाला ) ते नवरगांव ग्राम लगत तुमसर नगरपरिषद सीमांत खसरा क्रमांक 338 पंर्यत </t>
  </si>
  <si>
    <t xml:space="preserve">श्री मनीष कनोजे यांचे घरा पासुन ते श्री अब्दुल कनोजे यांचे घर ते  श्री बर्वे यांचे घर ते नवीन बौध्द विहार ते  तुमसर न. प. सीमांत खसरा क्रमांक 318 पंर्यत </t>
  </si>
  <si>
    <t>0013</t>
  </si>
  <si>
    <t xml:space="preserve">श्री ठवरे पुतळा ते श्री चिंधालोरे यांचे घरा पंर्यत </t>
  </si>
  <si>
    <t xml:space="preserve">बडा बाजार चौक ते श्री गोपाल पांडे  यांचे घरा पंर्यत </t>
  </si>
  <si>
    <t xml:space="preserve">श्री ठवरे पुतळा ते श्री गोपाल पांडे  यांचे घरा पंर्यत </t>
  </si>
  <si>
    <t xml:space="preserve">श्री चिंधालोरे यांचे घरा पासुन ते बडा बाजार चौक पंर्यत </t>
  </si>
  <si>
    <t>0014</t>
  </si>
  <si>
    <t xml:space="preserve">श्री मालाधरे सायकल दुकान ते श्री शालीक भोंडेकर यांचे घरा पर्यंत </t>
  </si>
  <si>
    <t xml:space="preserve">श्री कलाम खर्रावाले यांचे घरा पासुन ते श्री जावेद मंजील गांधी चौक पंर्यत </t>
  </si>
  <si>
    <t xml:space="preserve">श्री शालीक भोंडेकर यांचे घरापासून ते श्री कलाम खर्रावाले यांचे घरा पंर्यत </t>
  </si>
  <si>
    <t xml:space="preserve">श्री जावेद मंजील गांधी चौक ते श्री मालाधरे यांची सायकल दुकान </t>
  </si>
  <si>
    <t>प्रभाग क्रमांक 4</t>
  </si>
  <si>
    <t>0015</t>
  </si>
  <si>
    <t xml:space="preserve">तुमसर न. प. सीमांत खसरा क्रमांक 365 ते 370 पंर्यत </t>
  </si>
  <si>
    <t xml:space="preserve">श्री काशीराम काटकर यांचे घरा पासुन ते श्री गणेश गायधने यांचे घरा पंर्यत </t>
  </si>
  <si>
    <t>तुमसर न. प. सीमांत खसरा क्रमांक 370 ते श्री हनुमान मंदीर ते श्री गणेश गायधने यांचे घरा पंर्यत</t>
  </si>
  <si>
    <t xml:space="preserve">श्री काशीराम काटकर यांचे घर ते श्री गजानन साखरवाडे यांचे घर ते तुमसर न. प. सीमांत खसरा क्रमांक 365 पंर्यत </t>
  </si>
  <si>
    <t>0016</t>
  </si>
  <si>
    <t xml:space="preserve">तुमसर न. प. सीमांत खसरा क्रमांक 371 ते 375 पंर्यत </t>
  </si>
  <si>
    <t>श्री बबननाथ मावळे यांचे घरापासुन ते श्री ताराचंद कामळे यांचे घरापंर्यत ते  तुमसर न. प. सीमांत खसरा क्रमांक 499</t>
  </si>
  <si>
    <t>तुमसर न. प. सीमांत खसरा क्रमांक 375 ते तुमसर न. प. सीमांत खसरा क्रमांक 499 पंर्यत</t>
  </si>
  <si>
    <t>श्री बबननाथ मावळे यांचे घरा पासुन ते तुमसर न. प. सीमांत खसरा क्रमांक 371</t>
  </si>
  <si>
    <t>0017</t>
  </si>
  <si>
    <t xml:space="preserve">श्री बांते किराण स्टोर्स ते श्री गंगाराम राउत यांचे घर ते न. प. सीमांत खसरा क्रमांक 503 पंर्यत </t>
  </si>
  <si>
    <t>श्री हनुमान मंदीर समोरील मंदीर ते श्री बकाराम यांचे घर ते तुमसर न. प. सीमांत खसरा क्रमांक 526</t>
  </si>
  <si>
    <t xml:space="preserve">तुमसर न. प. सीमांत खसरा क्रमांक 503 ते 526 पंर्यत </t>
  </si>
  <si>
    <t xml:space="preserve">श्री बांते किराण स्टोर्स ते अखाडा ते हनुमान मंदीर समोरील मंदीरचा टोका पंर्यत </t>
  </si>
  <si>
    <t>0018</t>
  </si>
  <si>
    <t xml:space="preserve">चौकाची किराणा दुकान ते  श्री देशमुख यांचा वाडापंर्यत </t>
  </si>
  <si>
    <t xml:space="preserve">श्री नत्थु हरडे यांचे घरा पासून ते साई मंदीर पंर्यत </t>
  </si>
  <si>
    <t xml:space="preserve">श्री नत्थु हरडे यांचे घरा पासून ते श्री देशमुख यांचा वाडा पंर्यत </t>
  </si>
  <si>
    <t>श्री रविन्द्र ठाकुर यांचे घरा पासुन ते चौकाची किराणा दुकान</t>
  </si>
  <si>
    <t>प्रभाग क्रमांक 16</t>
  </si>
  <si>
    <t>0046</t>
  </si>
  <si>
    <t xml:space="preserve">चिश्तीया मंजील ते  ते श्रीमती लता व्ही शेंडे यांचे अप्सरा ब्युटी पार्लर ते  हनुमान मंदीर पंर्यत </t>
  </si>
  <si>
    <t xml:space="preserve">न. प. सीमांत खसरा नं. 758 ते श्री शिव मंदीर ते सरळ रोडाने श्री अतुल बडवाईक यांचे घर ते परमात्मा एक सेवक समाज मंदीर ते  श्री नागपुरे निवास ते श्री गणेश बामणे यांचे घर ते श्री प्रदीप बावनकर यांचे घरा पंर्यत </t>
  </si>
  <si>
    <t>श्रीमती लता व्ही शेंडे यांचे ब्युटी पार्लर ते सरळ न. प. रोडाने श्री मेहताबसिंग ठाकुर यांचे घर ते हनुमान मंदीर पंर्यत</t>
  </si>
  <si>
    <t xml:space="preserve"> श्री नागपुरे निवास ते श्री गणेश बामणे यांचे घर ते श्री प्रदीप बावनकर यांचे घर ते चिश्‍तीया मंजील पंर्यत </t>
  </si>
  <si>
    <t>प्रभाग क्रमांक 5</t>
  </si>
  <si>
    <t>0020</t>
  </si>
  <si>
    <t>नगरपरिषद मालवीय शाळा ते श्री ढोके यांचे घरा पंर्यत</t>
  </si>
  <si>
    <t xml:space="preserve">श्री गौरे यांचे घरा पासुन ते श्री ढोमणे पेंटर यांचे घरा पंर्यत </t>
  </si>
  <si>
    <t xml:space="preserve">श्री गौरे यांचे घरा पासुन ते श्री ढोके यांचे घरा पंर्यत </t>
  </si>
  <si>
    <t xml:space="preserve">श्री ढोमणे पेंटर यांचे घरा पासून ते नगरपरिषद मालविय शाळा पंर्यत </t>
  </si>
  <si>
    <t>0021</t>
  </si>
  <si>
    <t xml:space="preserve">श्री दिनेशनारायण तिवारी यांचे घरा पासुन ते श्री प्रदीप भुरे यांचे घरा पंर्यत </t>
  </si>
  <si>
    <t xml:space="preserve">श्री हनुमान मंदीर ते श्री विठल गभणे यांचे घरा पंर्यत </t>
  </si>
  <si>
    <t xml:space="preserve">श्री हनुमान मंदीर ते श्री प्रदीप भुरे यांचे घरा पंर्यत </t>
  </si>
  <si>
    <t xml:space="preserve">श्री विठल गभणे यांचे घरापासून ते श्री दिनेश नारायण तिवारी यांचे घरा पंर्यत </t>
  </si>
  <si>
    <t>प्रभाग क्रमांक 6</t>
  </si>
  <si>
    <t>0022</t>
  </si>
  <si>
    <t>श्री चिंधालोरे ठेकेदार यांचे घरापासून ते श्री ढोके यांचे घरा पंर्यत ( म. गांधी पुतळा )</t>
  </si>
  <si>
    <t xml:space="preserve">कुंभार अखाडा ते सुभाष चौक जवळील जुना विघुत कार्यालय पंर्यत </t>
  </si>
  <si>
    <t xml:space="preserve">म. गांधी पुतळा ते कुंभार अखाडा पंर्यत </t>
  </si>
  <si>
    <t xml:space="preserve">श्री चिंधालोरे ठेकेदार यांचे घरापासून ते जुना विघुत कार्यालय पंर्यत </t>
  </si>
  <si>
    <t>0023</t>
  </si>
  <si>
    <t>श्री डोईफोडे यांचे घरा पासून ते हनुमान मंदीर पंर्यत</t>
  </si>
  <si>
    <t xml:space="preserve">नगरपरिषद मुख्यअधिकारी यांचे रिकामे क्वार्टत ते श्री तिबुडे यांचे घरा पंर्यत </t>
  </si>
  <si>
    <t xml:space="preserve">नगरपरिषद मुख्यअधिकारी यांचे रिकामे क्वार्टत ते श्री हनुमान मंदीर पंर्यत </t>
  </si>
  <si>
    <t xml:space="preserve">श्री तिबुडे यांचे घरा पासुन ते श्री डोईफोडे यांचे घरापंर्यत </t>
  </si>
  <si>
    <t>0024</t>
  </si>
  <si>
    <t xml:space="preserve">श्री मलेवार आटा चक्की ते श्री सुधीर चन्ने यांचे घरा पंर्यत </t>
  </si>
  <si>
    <t xml:space="preserve">श्री पुरुषोत्तम गिरी यांचे घर </t>
  </si>
  <si>
    <t xml:space="preserve">श्री पुरुषोत्तम गिरी यांचे घर ते श्री सुधीर चन्ने यांचे घरा पंर्यत </t>
  </si>
  <si>
    <t xml:space="preserve">श्री पुरुषोत्तम गिरी यांचे घर ते श्री मलेवार यांची आटा चक्की पंर्यत </t>
  </si>
  <si>
    <t>प्रभाग क्रमांक 8</t>
  </si>
  <si>
    <t>0025</t>
  </si>
  <si>
    <t xml:space="preserve">श्री कुभारे सावकार ते श्री शेख यांचे घरा पंर्यत </t>
  </si>
  <si>
    <t xml:space="preserve">श्री हनुमान मंदीर ते श्री मलेवार यांचे घरा पंर्यत </t>
  </si>
  <si>
    <t xml:space="preserve">श्री हनुमान मंदीर ते श्री चिंधालोरे यांचे घरा पंर्यत </t>
  </si>
  <si>
    <t xml:space="preserve">श्री मलेवार यांचे घरा पासून ते श्री कुंभारे सावकार यांचे घरा पंर्यत </t>
  </si>
  <si>
    <t>0026</t>
  </si>
  <si>
    <t xml:space="preserve">श्री विलास देशमुख यांचे घरा पासून ते श्री मेश्राम यांचे घरापंर्यत </t>
  </si>
  <si>
    <t xml:space="preserve">श्री वाकरकर यांचे घरा पासून ते  श्री पाटील यांचे घरा पंर्यत </t>
  </si>
  <si>
    <t xml:space="preserve">श्री विलास देशमुख यांचे घरा पासून ते श्री पाटील यांचे घरापंर्यत </t>
  </si>
  <si>
    <t xml:space="preserve">श्री पाटील यांचे घरा पासून ते श्री मेश्राम यांचे घरा पंर्यत </t>
  </si>
  <si>
    <t>प्रभाग क्रमांक 14</t>
  </si>
  <si>
    <t>0042</t>
  </si>
  <si>
    <t xml:space="preserve">श्री बावनकर यांची आटा चक्की ते श्री येरणे फोटो स्टुडियो पंर्यत </t>
  </si>
  <si>
    <t xml:space="preserve">श्री धुर्वे यांचे घरा पासून ते श्री डॉ. बागडे यांचे क्लीनीक पंर्यत </t>
  </si>
  <si>
    <t xml:space="preserve">श्री येरणे फोटो स्टुडियो </t>
  </si>
  <si>
    <t xml:space="preserve">श्री बावनकर यांची आटा चक्की ते श्री डॉ. बागडे यांचे क्लीनीक पंर्यत </t>
  </si>
  <si>
    <t>0027</t>
  </si>
  <si>
    <t xml:space="preserve">नगरपरिषद गांधी प्राथमिक शाळा ते श्री संजय बिसने यांचे घरा पंर्यत </t>
  </si>
  <si>
    <t xml:space="preserve">श्री नागमंदीर ते नगरपरिषद गांधी प्राथमिक शाळा ते हुतात्मा स्मारक पंर्यत </t>
  </si>
  <si>
    <t xml:space="preserve">श्री संजय बिसने यांचे घरा पासुन ते श्री नागमंदीर पंर्यत </t>
  </si>
  <si>
    <t xml:space="preserve">नगरपरिषद गांधी प्राथमिक शाळा ते हुतात्मा स्मारक पंर्यत </t>
  </si>
  <si>
    <t>0028</t>
  </si>
  <si>
    <t xml:space="preserve">श्री दत्तात्रय मंदिर ते श्री मेश्राम यांचे घरा पंर्यत </t>
  </si>
  <si>
    <t xml:space="preserve">श्री बडवाईक यांचे घरा पासून ते श्री दुबे यांचे घरासमोर रोड ओलांडून नेहरू ग्राउंड तलाव पंर्यत </t>
  </si>
  <si>
    <t xml:space="preserve">श्री दत्तात्रय मंदिर ते श्री बडवाईक यांचे घरा पंर्यत </t>
  </si>
  <si>
    <t xml:space="preserve">श्री मेश्राम यांचे घरा पासून ते हनुमान मंदीर ते न.प. गांधी सागर तलाव ते श्री दुबे यांचे घरासमोर रोड ओलांडून नेहरू ग्राउंड तलाव पंर्यत </t>
  </si>
  <si>
    <t xml:space="preserve">तुमसर मेहगांव सीमा लगत खसरा क्रमांक 1468 ते   महाराष्ट विघुत कार्यालय ते जुनी न पा माकडे विघालयचे  कोपरा पर्यंत </t>
  </si>
  <si>
    <t xml:space="preserve">तुमसर हसारा सीमा लगत 1455 ते  खसरा क्रमांक 1454 ते सरळ बायपास रोडाने रोड ओलांडून रोडा जवडील जवळील रिकामे प्लॉट ते पेन्टी कॉस्टल चर्च ते सरळ रोडाने एस एन मोर कॉलेज मागील रोड ते फे्न्डस युनियन क्लब पर्यंत </t>
  </si>
  <si>
    <t xml:space="preserve">फ्रेन्डस युनियन क्लब  ते सरळ जुनी न पा माकडे विघालय चा कोपरा ते सरळ फ्रेन्डस युनियन क्लब  ते एस. एन. मोर कॉलेज ते पर्यंत नगरपरिषद रोडाने सरळ बायपास रोड ओलांडून आदिवासी मुलीची वसतीगृह ते खसरा क्रमांक 1454 पंर्यत </t>
  </si>
  <si>
    <t xml:space="preserve">तुमसर मेहगांव सीमा लगत खसरा क्रमांक 1468 ते तुमस हसारा सीमा लगत खसरा क्रमांक 1455 पंर्यत </t>
  </si>
  <si>
    <t>प्रभाग क्रमांक 12</t>
  </si>
  <si>
    <t>0037</t>
  </si>
  <si>
    <t xml:space="preserve">श्री कमल साखरकर यांचे घरा पासुन ते राष्टीय शाळा ते श्री गिरडकर यांचे घर ते श्रीमती शिला बावनकर यांचे घर ते  रिकामी प्लॉट पंर्यत  </t>
  </si>
  <si>
    <t xml:space="preserve">श्रेयशी नर्सिग स्कूल ते श्री देवराव सानेकर यांचे घर ते उत्कर्ष फायनेन्स कंपनी ते शा. औघोगिक प्रशिक्षण केन्द्र पंर्यत </t>
  </si>
  <si>
    <t xml:space="preserve">श्री कमल साखरकर यांचे घर ते श्रेयशी नर्सिंग स्कूल पंर्यत </t>
  </si>
  <si>
    <t xml:space="preserve"> शा. औघोगिक प्रशिक्षण केन्द्र  ते रिकामी प्लॉट ते श्रीमती शिला बावनकर यांचे घरा पंर्यत  </t>
  </si>
  <si>
    <t>प्रभाग क्रमांक 11</t>
  </si>
  <si>
    <t>0033</t>
  </si>
  <si>
    <t xml:space="preserve">जुना तलाठी कार्यालय ते सरळ एस एन मोर कॉलेज रोड ते श्री तिबुडे यांचे घरा पंर्यत </t>
  </si>
  <si>
    <t>श्री गंगाधर कारेमोरे यांचे घरापासून ते सरळ न.प. रोडाने श्री अंबिका शॉ मिल पंर्यत</t>
  </si>
  <si>
    <t xml:space="preserve">श्री तिबुडे यांचे घर ते सरळ तहसिल रोडाने श्री गंगाधर कारेमोरे यांचे घरा पंर्सत </t>
  </si>
  <si>
    <t>जुना तलाठी कार्यालय ते सरळ न.प. रोडाने श्री अंबिका शॉ मिल पंर्यत</t>
  </si>
  <si>
    <t>0036</t>
  </si>
  <si>
    <t xml:space="preserve">श्री गडे टेलर्स यांचे घरा पासून ते श्री धुर्वे शॉ मिल ते श्री दुबे यांचे घर ते राष्टीय शाळा लगत श्री प्रकाश पाठराबे यांचे घरा पंर्यत </t>
  </si>
  <si>
    <t xml:space="preserve">श्री सुदीप ठाकुर यांचे घर ते श्री मेश्राम यांचे घर ते श्री राधेश्याम मलेवार यांचे घरापंर्यत </t>
  </si>
  <si>
    <t>श्री सुदीप ठाकुर यांचे घरा पासून ते श्री गडे टेलर्स यांचे घरा पंर्यत</t>
  </si>
  <si>
    <t xml:space="preserve">राष्टीय शाळा लगत श्री प्रकाश पाठराबे यांचे घरा पासुन ते श्री राधेश्याम मलेवार यांचे घरापंर्यत </t>
  </si>
  <si>
    <t>0034</t>
  </si>
  <si>
    <t xml:space="preserve">श्री शंकररावजी कारेमोरे  यांचे घर ते श्री हरीश कारेमोरे यांचे घरा पंर्यत </t>
  </si>
  <si>
    <t xml:space="preserve">श्री बाबु पडोळे यांचे घर ते श्री क्षिरसागर यांचे घराचे कोपरा पंर्यत </t>
  </si>
  <si>
    <t xml:space="preserve">श्री शंकररावजी कारेमोरे  यांचे घर ते श्री बाबु पडोळे यांचे घरा पंर्यत </t>
  </si>
  <si>
    <t xml:space="preserve">श्री हरीश कारेमोरे यांचे घरा ते श्री क्षिरसागर यांचे घराचे कोपरा पंर्यत </t>
  </si>
  <si>
    <t>0035</t>
  </si>
  <si>
    <t xml:space="preserve">श्री कलावती बोरसरे यांचे घरा पासून ते श्री रामु ढोके यांचे घरा पंर्यत </t>
  </si>
  <si>
    <t xml:space="preserve">श्री सुनील लांजेवार यांचे घरा पासून ते श्री बाळकृष्ण हटवार यांचे घरापंर्यत </t>
  </si>
  <si>
    <t xml:space="preserve">श्री सुनील लांजेवार यांचे घरा पासून ते श्री कलावती बोरसरे यांचे घरा पंर्यत </t>
  </si>
  <si>
    <t xml:space="preserve">श्री बाळकृष्ण हटवार यांचे घरा पासुन ते श्री रामु ढोके यांचे घरा पंर्यत </t>
  </si>
  <si>
    <t>प्रभाग क्रमांक 13</t>
  </si>
  <si>
    <t>0038</t>
  </si>
  <si>
    <t xml:space="preserve">बीडी पत्ता गोडावून ते श्री राजगिरे यांचे एस टी डी व कॉम्प्युटर दुकाना पंर्यत </t>
  </si>
  <si>
    <t xml:space="preserve">तुमसर रेल्वे टॉउन ते भंडारा रोड रेल्वे चौकी पंर्यत </t>
  </si>
  <si>
    <t xml:space="preserve">बावळी मंदीरसमोरील दुकाना पासुन  सरळ रोडाने श्री दुर्गाप्रसाद सराफ  अथितीगृह ते श्री राजगिरे यांचे एस टी डी व कॉम्प्युटर दुकाना पंर्यत </t>
  </si>
  <si>
    <t>तुमसर रेल्वे टॉउन ते बीडी पत्ता गोडावून पंर्यत</t>
  </si>
  <si>
    <t>0039</t>
  </si>
  <si>
    <t xml:space="preserve">श्री भंडारा रोड रेल्वे चौकी ते श्री अग्रवाल यांचे घर ते श्री जोधानी यांचे घर ते नगरपरिषद कार्यालय पंर्यत  </t>
  </si>
  <si>
    <t xml:space="preserve">देव्हाडी रोड रेल्वे चौकी ते भंडारा रोड रेल्वे चौकी पंर्यत </t>
  </si>
  <si>
    <t xml:space="preserve">न. प. कार्यालय ते देव्हाडी रोड रेल्वे चौकी पंर्यत </t>
  </si>
  <si>
    <t xml:space="preserve">देव्हाडी रोड रेल्वे चौकी ते उपकोषागार कार्यालय पंर्यत </t>
  </si>
  <si>
    <t>0040</t>
  </si>
  <si>
    <t xml:space="preserve">श्री कावळे फेबी्रकेटर्स ते श्री भुरे यांची आटा चक्की ते श्री बागळकर यांची एस. टी. डी. दुकाना पंर्यत </t>
  </si>
  <si>
    <t xml:space="preserve">श्री चोपकर यांची जुनी मेडीकल दुकाना पासुन ते श्रीराम भवन ते श्री आगासे टॉयपिंग व झेराक्स दुकाना पंर्यत </t>
  </si>
  <si>
    <t xml:space="preserve">श्री चोपकर यांची जुनी मेडीकल दुकाना पासुन ते श्री बागळकर यांची एस. टी. डी. दुकाना पंर्यत </t>
  </si>
  <si>
    <t xml:space="preserve">श्री कावळे फेबी्रकेटर्स ते सरळ न. प. रोडाने  श्री आगासे टॉयपिंग व झेराक्स दुकाना पंर्यत </t>
  </si>
  <si>
    <t>00014</t>
  </si>
  <si>
    <t>0041</t>
  </si>
  <si>
    <t xml:space="preserve">श्री लांजेवार यांचे घरा पासुन ते श्री जायस्वाल यांचे कॉम्प्लेक्स पंर्यत </t>
  </si>
  <si>
    <t xml:space="preserve">श्री जगदीशचंद्र कारेमोरे यांचे कॉम्पलेक्स ते बावनकर चौक श्री दुर्गा वत्र भंडार दुकाना पंर्यत </t>
  </si>
  <si>
    <t xml:space="preserve">श्री जायस्वाल यांचे कॉम्प्लेक्स  ते श्री जगदीशचंद्र कारेमोरे यांचे कॉम्पलेक्स पंर्यत </t>
  </si>
  <si>
    <t xml:space="preserve">बावनकर चौक श्री दुर्गा वत्र भंडार दुकाना पासुन ते श्री संताजी धर्मशाला पंर्यत </t>
  </si>
  <si>
    <t>प्रभाग क्रमांक 15</t>
  </si>
  <si>
    <t>0044</t>
  </si>
  <si>
    <t xml:space="preserve">श्री सत्यनारायण मंदीर ते श्री ढोके यांचे घरा पंर्यत </t>
  </si>
  <si>
    <t xml:space="preserve">श्री हनुमान मंदीर ते श्री सत्यनारायण मंदीर पंर्यत </t>
  </si>
  <si>
    <t xml:space="preserve">खंडेलवाल मेडीकल स्टोर्स ते श्री ढोके यांचे घरा पंर्यत </t>
  </si>
  <si>
    <t xml:space="preserve">श्री सत्यनारायण मंदीर </t>
  </si>
  <si>
    <t>0043</t>
  </si>
  <si>
    <t xml:space="preserve">श्री दिनेश नागापोता यांचे कॉम्प्लेक्स ते  मस्जीद ते श्री भांडके यांचे घरा पंर्यत </t>
  </si>
  <si>
    <t xml:space="preserve">जुना सार्व. बांधकाम विभाग कार्यालय ते श्री चिमणभाई पटेल यांचे घरा पंर्यत </t>
  </si>
  <si>
    <t xml:space="preserve">श्री भांडके यांचे घरा पासुन ते  श्री चिमणभाई पटेल यांचे घरा पंर्यत </t>
  </si>
  <si>
    <t>श्री दिनेश नागापोता यांचे कॉम्प्लेक्स  पासुन ते जुना सार्व. बांधकाम विभाग कार्यालय पंर्यत</t>
  </si>
  <si>
    <t>0045</t>
  </si>
  <si>
    <t xml:space="preserve">श्री हनुमान मंदीर ते श्री गुर्वेश्वर गणेश मेदीर ते श्री महन्द्र जैन यांचे रिकामी प्लॉट पंर्यत </t>
  </si>
  <si>
    <t xml:space="preserve">न. प. बोरींग ते श्री राजेश चोपकर यांचे घरा पंर्यत </t>
  </si>
  <si>
    <t xml:space="preserve">श्री महन्द्र जैन यांचे रिकामी प्लॉट पंर्यत  ते न. प. बोरींग पंर्यत </t>
  </si>
  <si>
    <t xml:space="preserve">श्री हनुमान मंदीर ते श्री राजेश चोपकर यांचे घरा पंर्यत </t>
  </si>
  <si>
    <t>0047</t>
  </si>
  <si>
    <t>कोष्टी ग्रामलगत नगरपरिषद सीमांत खसरा नं. 766 ते नवीन शारदा कन्या विदयालय ईमारत ते तलावाचा भाग ते श्री पाठक गुरुजी यांचे घर ते सरळ नगरपरिषद रोडाने श्री कनपटे यांचे मार्बल गोडावून ते श्री संजय चकोले यांचे घर ते ज्ञानेश्वरी कॉम्पलेक्स ते श्री पडोळे यांचे घरा पंर्यत</t>
  </si>
  <si>
    <t xml:space="preserve">कोष्टी ग्रामलगत नगरपरिषद सीमांत खसरा नं. 769 ते नवीन शारदा कन्या विदयालय ईमारत ते तलावाचा भाग ते श्री जितेन्द्र बावनकर यांचे घर ते श्री मोहन वंजारी यांचे घर ते रस्ता ओलांडुन श्रीमती सीताबाई सिडाम यांचे घर ते रस्ता ओलांडून श्री मोहन शहारे यांचे घर ते श्री जैस्वाल यांचे घर ते श्री हैदर शेख यांचे घर ते रस्ता ओलांडुन डॉ. चंद्रशेखर भोयर यांचे घर ते श्री रामा निखाडे यांचे घर ते नगरपरिषद ढंगारे प्राथमिक शाळा पंर्यत </t>
  </si>
  <si>
    <t xml:space="preserve">कोष्टी ग्रामलगत नगरपरिषद सीमांत खसरा नं. 766 ते नवीन ते खसरा नं 769 पंर्यत </t>
  </si>
  <si>
    <t xml:space="preserve">श्री ज्ञानेश्वरी कॉम्पलेक्स जवळील श्री पडोळे यांचे घर ते नगरपरिषद ढंगारे प्राथमिक शाळा पंर्यत </t>
  </si>
  <si>
    <t>0050</t>
  </si>
  <si>
    <t xml:space="preserve">श्री श्रावण निखाडे यांचे घर ते  श्री तारीक कुरेशी  यांचे घर ते श्री पुरुषोत्तम सोनकर  यांचे घर श्री डिगु फुलवाधवा यांचे घर ते श्री डार्विन राउत यांचे घर ते श्री बेसरकर यांचे घर ते कोष्टी ग्राम लगत नगरपरिषद सीमांत खसरा नं. 762 पंर्यत </t>
  </si>
  <si>
    <t xml:space="preserve">श्री जीवन पुरी यांचे घरा पासुन लगत रेल्वे लाईन पासुन ते श्री दिलीप संबलवार यांचे घर ते श्री नारायण आसवानी यांचे घर ते श्री गोमाजी डोंगरे यांचे घर ते कोष्टी ग्रामलगत नगरपरिषद सीमांत खसरा नं. 780 पंर्यत </t>
  </si>
  <si>
    <t xml:space="preserve">कोष्टी ग्रामलगत नगरपरिषद सीमांत खसरा नं. 762 ते नवीन ते खसरा नं 780 पंर्यत </t>
  </si>
  <si>
    <t xml:space="preserve">श्री श्रावण निखाडे यांचे घर ते  श्री गोपाल हेमणे यांचे घर ते श्रीमती मुक्ताबाई केवट यांचे घर ते श्री सुरेश थोटे यांचे घर ते श्रीमती शिला शेंडे यांचे घर ते श्री ओमप्रकाश मस्के यांचे घर ते श्री जीवन पुरी यांचे घरा पंर्यत </t>
  </si>
  <si>
    <t>प्रभाग क्रमांक 17</t>
  </si>
  <si>
    <t>0049</t>
  </si>
  <si>
    <t xml:space="preserve">श्री टिकाराम लांजेवार यांचे घरा पासुन ते श्री सरळ रोडाने श्री विकास रामप्रसाद सनेसर यांचे घरा पंर्यत </t>
  </si>
  <si>
    <t xml:space="preserve">श्री नारायण मेहर यांचे घरा पासून ते सरळ रोडाने ज्ञानेश्वरी कॉप्लेक्स समोरील माउली बाईक रिपेयरींग शॉप पंर्यत </t>
  </si>
  <si>
    <t xml:space="preserve">श्री विकास रामप्रसाद सनेसर यांचे घरा पासुन ते सरळ रोडाने श्रीमती प्रेमकला ठाकरे यांचे घरामागे रोडाने श्री नारायण मेहर यांचे घरापंर्यत </t>
  </si>
  <si>
    <t xml:space="preserve">श्री टिकाराम लांजेवार यांचे घरा पासुन ते मा. खासदार श्री मधुकरजी कुकडे यांचे घर ते  ज्ञानेश्वरी कॉप्लेक्स समोरील माउली बाईक रिपेयरींग शॉप पंर्यत </t>
  </si>
  <si>
    <t>0048</t>
  </si>
  <si>
    <t xml:space="preserve">श्रीमती  विघा मुकेश बाणासुरे ते श्री सपाटे निवास (न. प. बोरींग ) ते श्रीमती सुशीला श्रीराम सपाटे यांचे घर ते श्री हिरालाल सनभोईर यांचे घरा पंर्यत </t>
  </si>
  <si>
    <t xml:space="preserve">श्री कपुर तितीरमारे यांचे घर ते सरळ रोडाने अंजली इंटरनेट कॅफे पंर्यत </t>
  </si>
  <si>
    <t xml:space="preserve">अंजली इंटरनेट कॅफे  ते श्री सार्वे निवास ते श्री रणजीत श्रीराम मेश्राम यांचे घर ते रोड ओलांडून श्री देवराव सेलोकर यांचे घर ते श्रीमती विघा बाणासुरे यांचे घरा पंर्यत </t>
  </si>
  <si>
    <t>श्री कपुर तितीरमारे यांचे घर ते सरळ रोडाने श्रीमती प्रेमकला ठाकरे यांचे घराचा मागचा भाग ( रोड ओलांडून  )  ते श्री हिरालाल सनभोईर यांचे घरा पंर्यत</t>
  </si>
  <si>
    <t>प्रभाग क्रमांक 18</t>
  </si>
  <si>
    <t>00018</t>
  </si>
  <si>
    <t>0053</t>
  </si>
  <si>
    <t>नगरपरिषद रायबहादुर कॉम्प्लेक्स ते श्री शालीक पडोळे यांचे घरा पंर्यत</t>
  </si>
  <si>
    <t>श्री शिव जैपुरीया यांचे ले-आउट</t>
  </si>
  <si>
    <t>श्री शालीक पडोळे यांचे घरा पासुन श्री शिव जैपुरीया यांचे ले-आउट पंर्यत</t>
  </si>
  <si>
    <t>श्री शिव जैपुरीया यांचे ले-आउट ते नगरपरिषद रायबहादुर कॉम्प्लेक्स पंर्यत</t>
  </si>
  <si>
    <t>प्रभाग क्रमांक 9</t>
  </si>
  <si>
    <t>0051</t>
  </si>
  <si>
    <t>श्री रमेश जायस्वाल यांचे घरा पासुन ते श्री रामावतार जायस्वाल फटाका दुकाना पंर्यत</t>
  </si>
  <si>
    <t xml:space="preserve">रेल्वे लाईन लगत सार्वजनिक शौचालय ते न. प. सीमांत खसरा नं. 765 पंर्यत </t>
  </si>
  <si>
    <t xml:space="preserve">श्री रमेश जायस्वाल यांचे घरा पासून ते सरळ रोडाने हनुमान मंदीर ते रेल्चे लाईन पंर्यत </t>
  </si>
  <si>
    <t>रेल्वे लाईन लगत सार्वजनिक शौचालय ते श्री रामावतार जायस्वाल फटाका दुकाना पंर्यत</t>
  </si>
  <si>
    <t>0052</t>
  </si>
  <si>
    <t xml:space="preserve">श्री सुरेश मेश्राम यांचे घरा लगत देव्हाडी रोड रेल्वे लाईन ते राय साहाब सेठ गोपीकिसन पत्ता गोडावून चा मागचा भाग रेल्वे लाईन पंर्यत </t>
  </si>
  <si>
    <t xml:space="preserve">श्री संतोष मोगरे यांचे घरा जवळचा कोपरा </t>
  </si>
  <si>
    <t xml:space="preserve">राय साहाब सेठ गोपीकिसन पत्ता गोडावून चा मागचा भाग रेल्वे लाईन ते श्री संतोष मोगरे यांचे घरा जवळचा कोपरा </t>
  </si>
  <si>
    <t xml:space="preserve">श्री संतोष मोगरे यांचे घरा जवळचा कोपरा ते श्री सुरेश मेश्राम घरा लगत देव्हाडी रोड रेल्वेलाईन पंर्यत </t>
  </si>
  <si>
    <t>प्रभाग क्रमांक 19</t>
  </si>
  <si>
    <t>0019</t>
  </si>
  <si>
    <t>0054</t>
  </si>
  <si>
    <t xml:space="preserve">श्री वंजारी यांचे घरापासून ते रेल्वे लाईन ते न. प. सीमांत खसरा क्रमांक 664 पंर्यत </t>
  </si>
  <si>
    <t xml:space="preserve">न. प. सीमांत खसरा क्रमांक 782 ते राहुल बियर बार ते गणेश लान्स जवडील नगरपरिषद सीमांत ते सरळ रोडाने तामसवाडी रोडाचे टोका पंर्यत </t>
  </si>
  <si>
    <t>न. प. सीमांत खसरा क्रमांक 664 ते खसरा क्रमांक 782 पंर्यत</t>
  </si>
  <si>
    <t xml:space="preserve">नगरपरिषद सीमांत  तामसवाडी रोडाचे टोका ते ते सरळ रोडाने श्री भारत चकोले यांचे घरा समोरील रिकामी प्लॉट पंर्यत </t>
  </si>
  <si>
    <t>0055</t>
  </si>
  <si>
    <t>देव्हाडी रोड रेल्वे चौकी ते भंडारा रोड रेल्वे चौकी पंर्यत</t>
  </si>
  <si>
    <t xml:space="preserve">श्री प्रकाश अग्रवाल यांचे घर ते श्री पडोळे यांचे घरा समोरील हनुमान ताळ यांची रिमामी जागा पंर्यत पंर्यत </t>
  </si>
  <si>
    <t>देव्हाडी रोड रेल्वे चौकी ते श्री  प्रकाश अग्रवाल यांचे घरा पंर्यत</t>
  </si>
  <si>
    <t xml:space="preserve">श्री गोविंद अग्रवाल यांचे घरा पासून ते सरळ रोडाने श्री नागापोता यांचे घर ते रोड ओलांडेन श्री लालवानी यांचे घर ते श्री चौधरी यांचे घर ते सरळ रोडाने श्री पडोळे यांचे घरा समोरील हनुमान ताळ यांची रिमामी जागा पंर्यत पंर्यत </t>
  </si>
  <si>
    <t>0056</t>
  </si>
  <si>
    <t xml:space="preserve">श्री हनुमान मंदीर ते श्री भारत चकोले यांचे घरा पंर्यत </t>
  </si>
  <si>
    <t xml:space="preserve">नगरपरिषद सीमांत खसरा नं. 1206 ते खसरा नं. 1221 पंर्यत </t>
  </si>
  <si>
    <t xml:space="preserve">नगरपरिषद सीमांत खसरा नं. 1206 ते श्री भारत चकोले यांचे घरा पंर्यत </t>
  </si>
  <si>
    <t xml:space="preserve">श्री हनुमान मंदीर ते श्री हेडावू यांचे घरा पासून ते नगरपरिषद सीमांत खसरा नं. 1221 पंर्यत </t>
  </si>
  <si>
    <t>0057</t>
  </si>
  <si>
    <t xml:space="preserve">श्री लक्ष्मी ग्रेनाईट व टाईल्स दुकाना पासुन ते  ( जुना सहारे वर्कशॉप ) श्री दयाराम किराणा जनरल स्टोर्स पंर्यत </t>
  </si>
  <si>
    <t>श्री मोहनसिंग ठाकुर यांचे घरा पासून ते श्री किंदरले डेयरी पंर्यत (बायपास रोड )</t>
  </si>
  <si>
    <t xml:space="preserve">श्री मोहनसिंग ठाकुर यांचे घरा पासुन  ते श्री लक्ष्मी ग्रेनाईट व टाईल्स दुकाना पंर्यत </t>
  </si>
  <si>
    <t xml:space="preserve">श्री किंदरले डेयरी (बायपास रोड ) ते श्री दयाराम किराणा जनरल स्टोर्स पंर्यत </t>
  </si>
  <si>
    <t>प्रभाग क्रमांक 20</t>
  </si>
  <si>
    <t>0061</t>
  </si>
  <si>
    <t xml:space="preserve">श्री टिकारामजी भुरे यांचे घरा पासुन ते मर्यादा ग्रामीण बिगर शेती पत संस्था मोहाडी तुमसर पंर्यत </t>
  </si>
  <si>
    <t xml:space="preserve">श्री पडोळे यांचे घरा पासून ते श्री गुलाब बुधे यांचे घरा पंर्यत  </t>
  </si>
  <si>
    <t>श्री टिकारामजी भुरे यांचे घरा पासुन ते सरळ रोडाने श्री प्रमोद घरडे यांचे घर ते  श्री दिनेश नागापोता यांचे घरा समोरील घर ते रोड ओलांडून श्री मडावी यांचे घर ते सरळ रोडाने श्री पडोळे यांचे घरा पंर्यत ( बायपास रोड )</t>
  </si>
  <si>
    <t xml:space="preserve">श्री गुलाब बुधे यांचे घरा पासून ते सरळ रोडाने मर्यादा ग्रामीण बिगर शेती पत संस्था मोहाडी तुमसर पंर्यत </t>
  </si>
  <si>
    <t>प्रभाग क्रमांक 21</t>
  </si>
  <si>
    <t>0063</t>
  </si>
  <si>
    <t xml:space="preserve">श्री हरीकृपा बिल्डींग नवीन बस स्टॅड समोरील ते   सरळ भंडारा रोडानी विनोबा भावे रोडचा कोपरा ( दुध डेयरी ) पंर्यत </t>
  </si>
  <si>
    <t xml:space="preserve">श्रीमती प्रभा चिंधालोरे यांचे घरा पासून ते भंडारा रोडानी विनोबा भावे रोडचा कोपरा ( दुध डेयरी ) पंर्यत </t>
  </si>
  <si>
    <t xml:space="preserve">श्री चिंधलोरे सायकल दुकान ते सरळ रोडानी  श्रीमती प्रभा चिंधालोरे यांचे घरा पंर्यत </t>
  </si>
  <si>
    <t xml:space="preserve">विनोबा भावे रोडचा कोपरा ( दुध डेयरी ) पंर्यत </t>
  </si>
  <si>
    <t>0068</t>
  </si>
  <si>
    <t xml:space="preserve">मथुट फायनेंनस कंपनी  ते सरळ विनोबा भावे नगर बायपास रोड ने श्रीमती मिरा संतोष भट यांचे घरा पंर्यत </t>
  </si>
  <si>
    <t xml:space="preserve">तुमसर नगरपालिका कर्मचारी सोसायटी कॉम्पलेक्स ते श्रीमती सकीया नुर अली सय्यद यांचे घर ते श्री के बी गोस्वामी दुध डेयरी ते श्री अशोक लांजेवार यांचे घर ते सरळ रोडाने श्री शेखर वाघाये यांचे घर ते श्रीमती कमलाबाई महालगांवे ते श्री गणेश बालपांडे यांचे घर ते श्री हनुमान मंदीर पंर्यत </t>
  </si>
  <si>
    <t xml:space="preserve">श्री हनुमान मंदीर ते श्री दुर्गादास पटले यांचे घर ते श्रीमती  मिरा संतोष भट यांचे घरा पंर्यत </t>
  </si>
  <si>
    <t xml:space="preserve">मथुट फायनेंनस कंपनी  ते सरळ भंडारा रोडाने तुमसर नगरपालिका कर्मचारी सोसायटी कॉम्पलेक्स पंर्यत </t>
  </si>
  <si>
    <t>प्रभाग क्रमांक 22</t>
  </si>
  <si>
    <t>0070</t>
  </si>
  <si>
    <t xml:space="preserve">श्री बेकरी (श्री रमेशसिंग ठाकुर यांचे घर  ) ते सरळ भंडारा रोडानी श्री सुमीत मेडीकल पंर्यत </t>
  </si>
  <si>
    <t xml:space="preserve">श्री उरकुडा सोनार यांचे घर ते सरळ नगरपरिषद रोडानी श्री पाटील यांचे कॉम्पलेक्स पंर्यत </t>
  </si>
  <si>
    <t xml:space="preserve">श्री बेकरी (श्री रमेशसिंग ठाकुर यांचे घर ) ते श्री उरकुडा सोनार यांचे घरा पंर्यत </t>
  </si>
  <si>
    <t xml:space="preserve">श्री पाटील यांचे कॉम्पलेक्स ते सरळ नगरपरिषद रोडाने श्री सुमीत मेडीकल स्टोर्स पंर्यत </t>
  </si>
  <si>
    <t>0071</t>
  </si>
  <si>
    <t xml:space="preserve">श्री पाटील यांचे घरा पासुन ते श्री हिरालाल शर्मा यांचे घरा पंर्यत </t>
  </si>
  <si>
    <t xml:space="preserve">श्री डुंभरे यांचे कॉम्पलेक्स ते श्री भुरे यांचे घरा पंर्यत </t>
  </si>
  <si>
    <t xml:space="preserve">श्री हिरालाल शर्मा यांचे घरा पासुन ते सरळ नगरपरिषद रोडाने श्री रमेश पांडे यांचे घर ते श्री भुरे यांचे घरा पंर्यत </t>
  </si>
  <si>
    <t>श्री पाटील यांचे घरा पासुन ते श्री डुंभरे यांचे कॉम्पलेक्स पंर्यत</t>
  </si>
  <si>
    <t>0072</t>
  </si>
  <si>
    <t xml:space="preserve">श्री श्यामसुंदर सेलिब्रेसन हॉल ते सरळ विनोबा भावे बायपास रोडानी श्री गोवर्धन धांडे यांचे घरा पंर्यत </t>
  </si>
  <si>
    <t xml:space="preserve">श्री हिरालाल बडवाईक यांचे घर ते श्रीमती वत्सला नागोराव भोंगाडे निवास ते श्री श्रीराम अनंतराम पटले यांचे घरा पंर्यत </t>
  </si>
  <si>
    <t xml:space="preserve"> श्री श्रीराम अनंतराम पटले यांचे घर ते सरळ नगरपरिषद रोडानी श्री गोवर्धन धांडे यांचे घरा पंर्यत </t>
  </si>
  <si>
    <t xml:space="preserve">श्री श्यामसुंदर सेलिब्रेसन हॉल ते श्री मुलचंद पटले यांचे घर ते श्री महेश एन शेंडे यांचे घर ते श्री हिरालाल बडवाईक यांचे घरा पंर्यत </t>
  </si>
  <si>
    <t>प्रभाग क्रमांक 23</t>
  </si>
  <si>
    <t>0077</t>
  </si>
  <si>
    <t xml:space="preserve">बावनथडी कार्यालय जवळील रिकामी जागा पासुन ते श्री व्ही. एन. वहिले यांचे घर ते श्री लालाजी सदाशिव मस्के यांचे घर ते मॉ चंफा निवास श्री वाच्‍छील यांचे घर ते श्री गिरधारी हरीलाल गभणे यांचे घर ते सरळ नगरपरिषद रोडानी श्री निशांत रामदास गभणे यांचे घरापंर्यत </t>
  </si>
  <si>
    <t xml:space="preserve">नगरपरिषद सीमांत खसरा नं. 1315 ते खसरा नं. 1339 पर्यंत </t>
  </si>
  <si>
    <t xml:space="preserve">श्री निशांत रामदास गभणे यांचे घर ते श्री एन. बी. चौव्हाण यांचे घर ते श्री प्रकाश बिसने यांचे घर ते श्री तारेन्द्र डिंकवार यांचे घर ते श्री वसंत केशवराव येरणे यांचे घर ते सरळ  न. प. रोडाने श्री अतुल लांजेवार यांचे घर ते श्री अशोक बोंदरे यांचे घर ते श्री गोविंद तांडेकर यांचे घर ते श्रीमती सुनिता रमेश कठोते यांचे घर ते नगरपरिषद सीमांत खसरा नं 1315 पंर्यत </t>
  </si>
  <si>
    <t xml:space="preserve">नगरपरिषद सीमांत खसरा नं. 1339 ते श्री ज्ञानेश्वर लक्षमण ठाकरे यांचे घरा पासुन ते श्री वसंत केशवराव कहालकर यांचे घर ते श्री अरुण गुना पटले यांचे घर ते श्री एम. के. खोब्रागडे ( लक्ष्मी निवास )  यांचे घर ते श्री एम. एस. धुर्वे यांचे घर ते बावनथडी कार्यालय ते कार्यालय जवळील रिकामी जागा पंर्यत </t>
  </si>
  <si>
    <t>0058</t>
  </si>
  <si>
    <t xml:space="preserve">भंडारा रोड रेल्वे चौकी ते श्री देवनाथ नवघरे यांचे घर ते तुमसर टाउन रेल्वे नगरपरिषद सीमांत पंर्यत </t>
  </si>
  <si>
    <t xml:space="preserve">श्री श्रीराम पेंट दुकाना पासुन ते भंडारा रोड हनुमान मंदीर पंर्यत </t>
  </si>
  <si>
    <t xml:space="preserve">भंडारा रोड रेल्वे चौकी ते हनुमान मंदीर पंर्यत </t>
  </si>
  <si>
    <t xml:space="preserve">श्री देवनाथ नवघरे यांचे घरा पासून ते श्रीराम पेंट पंर्यत </t>
  </si>
  <si>
    <t>0059</t>
  </si>
  <si>
    <t xml:space="preserve">श्री डी.एन. कापगते यांचे घरा पासून ते श्री डोंगरे यांचे घरा पंर्यत ते नगरपरिषद सीमांत </t>
  </si>
  <si>
    <t xml:space="preserve">श्री श्रीराम पेंट दुकाना जवळील रिकामे प्लॉट ते सरळ रोडाने नगरपरिषद पार्कचा कोपरा  </t>
  </si>
  <si>
    <t xml:space="preserve">श्री डी.एन. कापगते यांचे घरा पासून ते नगरपरिषद रोडाने सरळ श्री श्रीराम पेंट दुकाना जवळील रिकामे प्लॉट पंर्यत </t>
  </si>
  <si>
    <t xml:space="preserve">नगरपरिषद पार्कचा कोपरा  पासुन सरळ रोडाने श्री विशाल शामलाल सुर्यवंशी यांचे घर ते सरळ रोडाने  श्री डोंगरे यांचे घरा पंर्यत ते नगरपरिषद सीमांत </t>
  </si>
  <si>
    <t>0060</t>
  </si>
  <si>
    <t xml:space="preserve">श्री सचिन कुंभरे यांचे घरा पासून ते  नगरपरिषद सीमांत ते श्री रामटेके यांचे घरा पंर्यत </t>
  </si>
  <si>
    <t xml:space="preserve">श्री आंबीलढुके यांचे घरा जवळील रिकामी प्लॉट ते सरळ नगरपरिषद रोडाने ते महाराजा टाईल्स ते नगरपरिषद सीमांत पंर्यत  </t>
  </si>
  <si>
    <t xml:space="preserve">श्री आंबीलढुके यांचे घरा जवळील रिकामी प्लॉट ते सरळ रोडाने श्री बोरकर यांचे घर ते रोड ओलांडून श्री विनोद पाटील यांचे घर ते सरळ रोडाने श्री रामटेके यांचे घरा पंर्यत </t>
  </si>
  <si>
    <t xml:space="preserve">श्री महाराजा टाईल्स ते हसारा ग्रामलगत नगपरिषद सीमांत ते रेल्वे टाउन नगरपरिषद सीमांत पंर्यत </t>
  </si>
  <si>
    <t>0062</t>
  </si>
  <si>
    <t>श्री स्नेह नागरीक पत संस्था (बाबुराव तलमले ) ते श्री अग्रवाल यांचे घर ते नगरपरिषद पार्क पंर्यत</t>
  </si>
  <si>
    <t xml:space="preserve">श्री स्नेह नागरीक पत संस्था (बाबुराव तलमले ) ते  सरळ भंडारा रोडानी नवीन बस स्टँड टोका पंर्यत </t>
  </si>
  <si>
    <t xml:space="preserve">श्री स्नेह नागरीक पत संस्था (बाबुराव तलमले ) </t>
  </si>
  <si>
    <t xml:space="preserve">नवीन बस स्टँड टोका पासून ते सरळ रोडानी नगरपरिषद पार्क ते श्री गोविंद अग्रवाल यांचे घरा पंर्यत </t>
  </si>
  <si>
    <t>0064</t>
  </si>
  <si>
    <t>श्री पटेल मल्टी स्पेशलिस्ट सर्जीकल पाईल्स क्‍लीनीक ते श्री अमर मोहनानी यांचे घरा पर्यंत</t>
  </si>
  <si>
    <t xml:space="preserve">श्री मातोश्री कॉम्पलेक्स जवळील पेटृोल पम्प ते ब्ँक ऑफ इंडीया पंर्यत </t>
  </si>
  <si>
    <t>श्री पटेल मल्टी स्पेशलिस्ट सर्जीकल पाईल्स क्‍लीनीक ते श्री मातोश्री कॉम्पलेक्स जवळील पेटृोल पम्प</t>
  </si>
  <si>
    <t xml:space="preserve">श्री अमर मोहनानी यांचे घरा पासुन ते श्री रामकृष्ण राठोड ते श्री गजानन महाराज चौकजवळील श्री युवराज आगासे यांचे घर ते प्रशांत रेफी्रजेटर शॉप ते श्री देवरावजी गायधने यांचे घर ते सरळ रोडाने बँक ऑफ इंडिया ते भंडारा रोड लगतसीमा पंर्यत </t>
  </si>
  <si>
    <t>0065</t>
  </si>
  <si>
    <t xml:space="preserve">श्री यु. एम. देशमुख यांचे घर ते श्रीमती शांताबाई कारेमोरे आय. टी. आय. जवळील कॉम्पलेक्स दुकाना पंर्यत </t>
  </si>
  <si>
    <t>श्री चंद्रशेखर खोब्रागडे  यांचे घर ते शांती कॉन्वेंट शाळा ते श्री रमेश पडोळे यांचे घर ते सरळ रोडाने अंकित मार्बल ते इंडियन ओवरसीज बँक पंर्यत</t>
  </si>
  <si>
    <t xml:space="preserve">इंडीयन ओवरसीज बँक ते श्री नरेश चौरागडे यांचे घर ते सरळ रोडाने गजानन चौक जवळील जयंत आर्ट ते रोड ओलांडून श्री सिंग यांचे घर ते रिकामी प्लॉट ते श्री भारत ग्यानीराम ठाकरे  यांचे घर ते रोड ओलांडुन श्री अशोक मारोतराव मानकर यांचे घर ते श्री यु. एम. देशमुख यांचे घरा पंर्यत </t>
  </si>
  <si>
    <t xml:space="preserve">श्रीमती शांताबाई कारेमोरे आय. टी. आय. जवळील कॉम्पलेक्स दुकान ते नागमंदीर ते सरळ रोडाने श्री कैलाश ईश्वरदयालजी ठाकरे यांचे घर ते श्री चंद्रशेखर खोब्रागडे यांचे घरा पंर्यत </t>
  </si>
  <si>
    <t>0066</t>
  </si>
  <si>
    <t xml:space="preserve">श्रीमती शांताबाई कारेमोरे आय. टी. आय. जवळील कॉम्पलेक्स दुकाना जवळील रोड ओलांडून उजवी कडे  रिकामी प्लॉट ते सरळ तुमसर हसारा रोडानी श्री डोंगरे डेकांरेशन ते श्री साई गेस्ट हाउस ते नगरपरिषद सीमांत खसरा नं. 1438 पंर्यत </t>
  </si>
  <si>
    <t xml:space="preserve">श्री रमेश पारधी यांचे घरा पासुन ते श्री विशाल आर. लाडे ते सरळ रोडाने श्रीमती छाया शेंडे यांचे घर ते हसारा रोड नगरपरिषद सिमांत खसरा नं. 1436 पंर्यत </t>
  </si>
  <si>
    <t xml:space="preserve">श्री रमेश पारधी यांचे घर ते श्री किशोर हरिश्चंद्र रहांगडाले ते सरळ रोडाने उर्मिला निवास ते नगरपरिषद रोड ओलांडुन श्री राजाराम सोमाजी तितीरमारे यांचे घर ते श्रीमती शांताबाई कारेमोरे आय. टी. आय. जवळील कॉम्पलेक्स दुकाना जवळील रोड ओलांडून उजवी कडे  रिकामी प्लॉट पंर्यत </t>
  </si>
  <si>
    <t xml:space="preserve">श्री साई गेस्ट हाउस ते नगरपरिषद सीमांत खसरा नं. 1438  ते खसरा नं. 1436 पंर्यत </t>
  </si>
  <si>
    <t>0067</t>
  </si>
  <si>
    <t xml:space="preserve">श्री मलेवार यांचे घरा पासुन ते सरळ रोडाने श्री पडोळे यांचे घर ते श्री शेखहई तुरक यांचे घर ते तुमसर हसारा रोड नगरपरिषद सिमांत पंर्यत </t>
  </si>
  <si>
    <t xml:space="preserve">श्री बिसने हॉटेल ते सरळ नगरपरिषद रोडाने  तुमसर हसारा रोड नगरपरिषद सिमांत पंर्यत </t>
  </si>
  <si>
    <t>श्री मलेवार यांचे घरा पासुन ते सरळ भंडारा रोडाने श्री बिसने हॉटेल पंर्यत</t>
  </si>
  <si>
    <t xml:space="preserve">तुमसर हसारा रोड नगरपरिषद सिमांत पंर्यत </t>
  </si>
  <si>
    <t>0073</t>
  </si>
  <si>
    <t xml:space="preserve">श्री गभणे सभागृह ते सरळ नगरपरिषद रोडाने श्री शिवराज गौपाले यांचे घर ते श्री खुशाल नगरधने यांचे घर ते श्री कैलाश ढोमणे यांचे घर ते श्रीमती मिना विनोद मने यांचे घर ते हसारा रोड लगत नगरपरिषद सीमांत खसरा नं.  1393 पंर्यत </t>
  </si>
  <si>
    <t xml:space="preserve">श्री मेड प्लस मेडीकल शॉप ते  कोप-याचे रिकामी प्लॉट  ते श्री विजय रहागडाले यांचे घर ते श्री विजय शहारे यांचे घरासामेरील घर ते श्री मिश्रा यांचे घर ते श्री कमलेश्वर बम्हनोटे यांचे घर ते  हसारा रोड लगत नगरपरिषद सीमांत खसरा नं.  1392 पंर्यत </t>
  </si>
  <si>
    <t xml:space="preserve">श्री गभणे सभागृह ते श्री मेड प्लस मेडीकल शॉप पंर्यत </t>
  </si>
  <si>
    <t xml:space="preserve">हसारा रोड लगत नगरपरिषद सीमांत खसरा नं.  1393 ते खसरा नं. 1392 पंर्यत </t>
  </si>
  <si>
    <t>0074</t>
  </si>
  <si>
    <t xml:space="preserve">श्री विजय शहारे यांचे घर ते श्री ए.जे. रंगारी यांचे घर ते श्री लेखराम धर्माजी हेडावु यांचे घर ते श्री हैबीट युनीसेक्स सलुन पंर्यत </t>
  </si>
  <si>
    <t>श्री सुरेश भट यांचे घर जवळील रिकामी प्लॉट ते सरळ नगरपरिषद रोडाने गजानन नगरीतील श्री गणेश मेहर यांचे मागील  श्री डोळस यांचे घर ते हसारा रोड लगत नगरपरिषद सीमांत खसरा नं.  1389 पंर्यत</t>
  </si>
  <si>
    <t xml:space="preserve">श्री हैबीट युनीसेक्स सलुन ते श्री सुरेश भट यांचे घर जवळील रिकामी प्लॉट पंर्यत </t>
  </si>
  <si>
    <t>हसारा रोड लगत नगरपरिषद सीमांत खसरा नं.  1389 पंर्यत</t>
  </si>
  <si>
    <t>0075</t>
  </si>
  <si>
    <t xml:space="preserve">हसारा रोड लगत नगरपरिषद सीमांत खसरा नं.  1392 ते गजानन नगरातील श्री अविनाश विश्वनाथ दुधलकर ते श्री निकुंज बिहारी लांजेवार यांचे घर ते  सरळ नगरपरिषद रोडाने श्रीमती मनीषा कापगते यांचे घर ते  भंडारा रोड लगत  श्री  साई नाथ टे्डर्स पंर्यत </t>
  </si>
  <si>
    <t xml:space="preserve">भंडारा रोड लगत नगरपरिषद सीमांत ते लुंबीनी मतीमंद मुला मुलीची निवासी कर्मशाला ते विक्रम पॅलेश हॉटेल ते स्माईल मल्टीप्लेक्स  पंर्यत </t>
  </si>
  <si>
    <t xml:space="preserve"> श्री  साई नाथ टे्डर्स ते सरळ भंडारा रोडानी मातेश्री सुजुकी शोरूम ते भंडारा रोड लगत नगरपरिषद सीमांतखसरा नं. 1350 पंर्यत </t>
  </si>
  <si>
    <t>हसारा रोड लगत नगरपरिषद सीमांत खसरा नं.  1392</t>
  </si>
  <si>
    <t>0076</t>
  </si>
  <si>
    <t xml:space="preserve">विनोबा नगर रिलायंस स्मार्ट बाजार जवळील रिकामी प्लॉट ते नगरपरिषद पाणी टॉकी ते श्री दमाहे साडी सेंटर पंर्यत </t>
  </si>
  <si>
    <t xml:space="preserve">श्री हरीदास पारधी अनुकुंज बिल्डींग यांचे घर ते श्री चंद्रकांत भट यांचे घरा समोरील क्रिडागंण पटांगण ते श्री महेश पोटभरे यांचे घर ते श्री आर एस चौरे यांचे घर ते शकुंतला सभागृह पंर्यत </t>
  </si>
  <si>
    <t xml:space="preserve">श्री दमाहे साडी सेंटर ते श्री शालीकराम बोरकर यांचे घर ते बावनथडी रेस्ट हाउस ते श्री बी पी पारधी यांचे घर ते श्री साईमेस ते श्री अशोक सार्वे यांचे घर ते श्री हरीदास पारधी अनुकुंज बिल्डींग पंर्यत </t>
  </si>
  <si>
    <t xml:space="preserve">शकुतंला सभागृह ते श्री गादेवार हॉस्पीटल ते रिलायंस स्मार्ट बाजार ते बाजार जवळील रिकामे प्लॉट पंर्यत </t>
  </si>
  <si>
    <t>0078</t>
  </si>
  <si>
    <t xml:space="preserve">श्री गाजानन गृहनिर्माण सोसायटी कॉम्पलेक्स </t>
  </si>
  <si>
    <t xml:space="preserve">मागली ग्राम लगत नगरपरिषद सीमा खसरा नं. 1099 ते खसरा नं. 1345 पर्यंत </t>
  </si>
  <si>
    <t xml:space="preserve">श्री माहेतुरे यांचे घर ते श्री एस. पांडे यांचे घर ते सरळ नगरपरिषद रोडाने श्री  श्री आसाराम जी. रामटेके यांचे घर ते श्री तुकाराम बांडेबुचे यांचे घर ते श्री आगासे यांचे घर ते श्री गजानन गृह निर्माण सोसायटी पंर्यत </t>
  </si>
  <si>
    <t>मागली ग्राम लगत नगरपरिषद सीमा खसरा क्रमांक 1099 ते नवीन कृषी बाजार समिती ते श्री सेलोकर यांचे कॉम्पलेक्स ते सरळ भंडारा रोडाने श्री गजानन गृह निर्माण सोसायटी पंर्यत</t>
  </si>
  <si>
    <t>0079</t>
  </si>
  <si>
    <t xml:space="preserve">श्री राजाराम लांस ते श्री येरणे प्लायवुड एण्‍ड ग्लास गोडावुन ते श्री चंद्रकांत भट यांचे घर ते सरळ रोडाने पितृछाया निवास जवळील रिकामी प्लॉट पंर्यत </t>
  </si>
  <si>
    <t xml:space="preserve">मागली ग्राम लगत नगरपरिषद सीमा खसरा नं. 1340 ते खसरा नं. 1343 पर्यंत </t>
  </si>
  <si>
    <t xml:space="preserve">पितृछाया निवास जवळील रिकामी प्लॉट ते श्रीमती पुष्पा तुरकर यांचे घर ते श्री नितीन पटले यांचे घर ते श्री विनोद पटले यांचे घर ते सरळ रोडाने श्री मुकेश ता सिंगाडे यांचे घर ते नगर परिषद सीमांत खसरा नं. 1340 पर्यंत </t>
  </si>
  <si>
    <t>नगर परिषद सीमांत खसरा नं. 1343 ते नर्मदा आर. ओ. ते श्री शिवचरण अग्रवाल यांचे घर ते श्री एम. एस. डोंगरे यांचे घर ते श्री शैलेशकुमार पांडे यांचे घर ते श्री रामदयाल पारधी यांचे घर ते श्री राजाराम लांन्स पंर्यत</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</si>
</sst>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charset val="134"/>
      <scheme val="minor"/>
    </font>
    <font>
      <sz val="11"/>
      <color theme="1"/>
      <name val="Calibri"/>
      <family val="2"/>
      <scheme val="minor"/>
    </font>
    <font>
      <b/>
      <sz val="11"/>
      <color theme="1"/>
      <name val="Calibri"/>
      <family val="2"/>
      <scheme val="minor"/>
    </font>
    <font>
      <b/>
      <sz val="16"/>
      <color theme="1"/>
      <name val="Calibri"/>
      <family val="2"/>
      <scheme val="minor"/>
    </font>
    <font>
      <sz val="11"/>
      <color theme="1"/>
      <name val="DVOT-SurekhMR"/>
    </font>
    <font>
      <b/>
      <sz val="11"/>
      <color theme="1"/>
      <name val="DVOT-SurekhMR"/>
    </font>
  </fonts>
  <fills count="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92D050"/>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indexed="64"/>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bottom/>
      <diagonal/>
    </border>
    <border>
      <left style="thin">
        <color auto="1"/>
      </left>
      <right/>
      <top/>
      <bottom/>
      <diagonal/>
    </border>
  </borders>
  <cellStyleXfs count="1">
    <xf numFmtId="0" fontId="0" fillId="0" borderId="0"/>
  </cellStyleXfs>
  <cellXfs count="110">
    <xf numFmtId="0" fontId="0" fillId="0" borderId="0" xfId="0"/>
    <xf numFmtId="0" fontId="0" fillId="0" borderId="1" xfId="0" applyBorder="1"/>
    <xf numFmtId="0" fontId="0" fillId="0" borderId="2" xfId="0" applyBorder="1"/>
    <xf numFmtId="0" fontId="3" fillId="0" borderId="2" xfId="0" applyFont="1" applyBorder="1"/>
    <xf numFmtId="0" fontId="0" fillId="0" borderId="3" xfId="0" applyBorder="1"/>
    <xf numFmtId="0" fontId="1" fillId="0" borderId="0" xfId="0" applyFont="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5" xfId="0" applyFont="1" applyBorder="1" applyAlignment="1">
      <alignment horizontal="center" vertical="center" wrapText="1"/>
    </xf>
    <xf numFmtId="0" fontId="0" fillId="0" borderId="6" xfId="0" applyBorder="1"/>
    <xf numFmtId="0" fontId="0" fillId="0" borderId="0" xfId="0" applyAlignment="1">
      <alignment horizontal="center" vertical="center"/>
    </xf>
    <xf numFmtId="0" fontId="4" fillId="0" borderId="7" xfId="0" applyFont="1" applyBorder="1" applyAlignment="1">
      <alignment vertical="center" wrapText="1"/>
    </xf>
    <xf numFmtId="49" fontId="4" fillId="0" borderId="5" xfId="0" applyNumberFormat="1" applyFont="1" applyBorder="1" applyAlignment="1">
      <alignment horizontal="center" vertical="center" wrapText="1"/>
    </xf>
    <xf numFmtId="0" fontId="4" fillId="0" borderId="5" xfId="0" applyFont="1" applyBorder="1" applyAlignment="1">
      <alignment horizontal="justify" vertical="top"/>
    </xf>
    <xf numFmtId="0" fontId="4" fillId="0" borderId="5" xfId="0" applyFont="1" applyBorder="1" applyAlignment="1">
      <alignment horizontal="justify" vertical="top" wrapText="1"/>
    </xf>
    <xf numFmtId="0" fontId="4" fillId="0" borderId="5" xfId="0" applyFont="1" applyBorder="1" applyAlignment="1">
      <alignment horizontal="center" vertical="center"/>
    </xf>
    <xf numFmtId="1" fontId="4" fillId="0" borderId="5" xfId="0" applyNumberFormat="1" applyFont="1" applyBorder="1" applyAlignment="1">
      <alignment horizontal="center" vertical="center"/>
    </xf>
    <xf numFmtId="0" fontId="4" fillId="0" borderId="8" xfId="0" applyFont="1" applyBorder="1" applyAlignment="1">
      <alignment vertical="center" wrapText="1"/>
    </xf>
    <xf numFmtId="0" fontId="4" fillId="0" borderId="9" xfId="0" applyFont="1" applyBorder="1" applyAlignment="1">
      <alignment horizontal="justify" vertical="top" wrapText="1"/>
    </xf>
    <xf numFmtId="0" fontId="4" fillId="0" borderId="10" xfId="0" applyFont="1" applyBorder="1" applyAlignment="1">
      <alignment horizontal="center" vertical="center"/>
    </xf>
    <xf numFmtId="1" fontId="5" fillId="0" borderId="5" xfId="0" applyNumberFormat="1" applyFont="1" applyBorder="1" applyAlignment="1">
      <alignment horizontal="center" vertical="center"/>
    </xf>
    <xf numFmtId="0" fontId="4" fillId="2" borderId="4" xfId="0" applyFont="1" applyFill="1" applyBorder="1" applyAlignment="1">
      <alignment horizontal="center" vertical="center" wrapText="1"/>
    </xf>
    <xf numFmtId="0" fontId="4" fillId="2" borderId="7" xfId="0" applyFont="1" applyFill="1" applyBorder="1" applyAlignment="1">
      <alignment vertical="center" wrapText="1"/>
    </xf>
    <xf numFmtId="0" fontId="4" fillId="2" borderId="5" xfId="0"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0" fontId="4" fillId="2" borderId="5" xfId="0" applyFont="1" applyFill="1" applyBorder="1" applyAlignment="1">
      <alignment horizontal="justify" vertical="top" wrapText="1"/>
    </xf>
    <xf numFmtId="0" fontId="4" fillId="2" borderId="5" xfId="0" applyFont="1" applyFill="1" applyBorder="1" applyAlignment="1">
      <alignment horizontal="center" vertical="center"/>
    </xf>
    <xf numFmtId="1" fontId="5" fillId="2" borderId="5" xfId="0"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0" fontId="0" fillId="0" borderId="11" xfId="0" applyBorder="1"/>
    <xf numFmtId="0" fontId="0" fillId="0" borderId="0" xfId="0" applyBorder="1"/>
    <xf numFmtId="0" fontId="2" fillId="0" borderId="0" xfId="0" applyFont="1" applyBorder="1"/>
    <xf numFmtId="1" fontId="2" fillId="0" borderId="0" xfId="0" applyNumberFormat="1" applyFont="1" applyBorder="1"/>
    <xf numFmtId="2" fontId="0" fillId="0" borderId="6" xfId="0" applyNumberFormat="1" applyBorder="1"/>
    <xf numFmtId="0" fontId="0" fillId="0" borderId="5" xfId="0" applyBorder="1"/>
    <xf numFmtId="0" fontId="3" fillId="0" borderId="5" xfId="0" applyFont="1" applyBorder="1"/>
    <xf numFmtId="0" fontId="0" fillId="0" borderId="0" xfId="0" applyFill="1" applyBorder="1" applyAlignment="1">
      <alignment horizontal="center" vertical="center"/>
    </xf>
    <xf numFmtId="0" fontId="4" fillId="0" borderId="5" xfId="0" applyFont="1" applyBorder="1" applyAlignment="1">
      <alignment vertical="center" wrapText="1"/>
    </xf>
    <xf numFmtId="0" fontId="4" fillId="2" borderId="5" xfId="0" applyFont="1" applyFill="1" applyBorder="1" applyAlignment="1">
      <alignment vertical="center" wrapText="1"/>
    </xf>
    <xf numFmtId="0" fontId="2" fillId="0" borderId="5" xfId="0" applyFont="1" applyBorder="1"/>
    <xf numFmtId="1" fontId="2" fillId="0" borderId="5" xfId="0" applyNumberFormat="1" applyFont="1" applyBorder="1"/>
    <xf numFmtId="0" fontId="0" fillId="0" borderId="12" xfId="0" applyBorder="1"/>
    <xf numFmtId="0" fontId="0" fillId="0" borderId="13" xfId="0" applyBorder="1"/>
    <xf numFmtId="0" fontId="3" fillId="0" borderId="13" xfId="0" applyFont="1" applyBorder="1"/>
    <xf numFmtId="0" fontId="0" fillId="0" borderId="14" xfId="0" applyBorder="1"/>
    <xf numFmtId="0" fontId="5" fillId="0" borderId="5" xfId="0" applyFont="1" applyBorder="1" applyAlignment="1">
      <alignment horizontal="center" vertical="center"/>
    </xf>
    <xf numFmtId="0" fontId="0" fillId="0" borderId="9" xfId="0" applyBorder="1"/>
    <xf numFmtId="0" fontId="4" fillId="0" borderId="5" xfId="0" applyFont="1" applyBorder="1" applyAlignment="1">
      <alignment vertical="top"/>
    </xf>
    <xf numFmtId="0" fontId="4" fillId="0" borderId="5" xfId="0" applyFont="1" applyBorder="1" applyAlignment="1">
      <alignment horizontal="center" vertical="top"/>
    </xf>
    <xf numFmtId="49" fontId="4" fillId="0" borderId="5" xfId="0" applyNumberFormat="1" applyFont="1" applyBorder="1" applyAlignment="1">
      <alignment horizontal="center" vertical="top"/>
    </xf>
    <xf numFmtId="0" fontId="5" fillId="0" borderId="5" xfId="0" applyFont="1" applyBorder="1" applyAlignment="1">
      <alignment horizontal="center" vertical="top"/>
    </xf>
    <xf numFmtId="1" fontId="5" fillId="0" borderId="5" xfId="0" applyNumberFormat="1" applyFont="1" applyBorder="1" applyAlignment="1">
      <alignment horizontal="center" vertical="top"/>
    </xf>
    <xf numFmtId="0" fontId="4" fillId="3" borderId="5" xfId="0" applyFont="1" applyFill="1" applyBorder="1" applyAlignment="1">
      <alignment horizontal="justify" vertical="top"/>
    </xf>
    <xf numFmtId="0" fontId="5" fillId="3" borderId="5" xfId="0" applyFont="1" applyFill="1" applyBorder="1" applyAlignment="1">
      <alignment horizontal="center" vertical="center"/>
    </xf>
    <xf numFmtId="1" fontId="5" fillId="3" borderId="5" xfId="0" applyNumberFormat="1" applyFont="1" applyFill="1" applyBorder="1" applyAlignment="1">
      <alignment horizontal="center" vertical="center"/>
    </xf>
    <xf numFmtId="0" fontId="0" fillId="0" borderId="15" xfId="0" applyBorder="1"/>
    <xf numFmtId="0" fontId="0" fillId="0" borderId="16" xfId="0" applyBorder="1"/>
    <xf numFmtId="0" fontId="2" fillId="0" borderId="16" xfId="0" applyFont="1" applyBorder="1" applyAlignment="1">
      <alignment horizontal="center"/>
    </xf>
    <xf numFmtId="1" fontId="2" fillId="0" borderId="16" xfId="0" applyNumberFormat="1" applyFont="1" applyBorder="1" applyAlignment="1">
      <alignment horizontal="center"/>
    </xf>
    <xf numFmtId="2" fontId="0" fillId="0" borderId="17" xfId="0" applyNumberFormat="1" applyBorder="1" applyAlignment="1">
      <alignment horizontal="center"/>
    </xf>
    <xf numFmtId="0" fontId="2" fillId="0" borderId="0" xfId="0" applyFont="1"/>
    <xf numFmtId="1" fontId="2" fillId="0" borderId="0" xfId="0" applyNumberFormat="1" applyFont="1"/>
    <xf numFmtId="2" fontId="0" fillId="0" borderId="0" xfId="0" applyNumberFormat="1"/>
    <xf numFmtId="0" fontId="4" fillId="3" borderId="5" xfId="0" applyFont="1" applyFill="1" applyBorder="1" applyAlignment="1">
      <alignment horizontal="justify" vertical="top" wrapText="1"/>
    </xf>
    <xf numFmtId="0" fontId="4" fillId="3" borderId="5"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5" xfId="0" applyFont="1" applyFill="1" applyBorder="1" applyAlignment="1">
      <alignment vertical="center" wrapText="1"/>
    </xf>
    <xf numFmtId="0" fontId="4" fillId="4" borderId="5" xfId="0"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0" fontId="4" fillId="4" borderId="5" xfId="0" applyFont="1" applyFill="1" applyBorder="1" applyAlignment="1">
      <alignment horizontal="justify" vertical="top" wrapText="1"/>
    </xf>
    <xf numFmtId="0" fontId="4" fillId="4" borderId="5" xfId="0" applyFont="1" applyFill="1" applyBorder="1" applyAlignment="1">
      <alignment horizontal="center" vertical="center"/>
    </xf>
    <xf numFmtId="1" fontId="4" fillId="4" borderId="5" xfId="0" applyNumberFormat="1" applyFont="1" applyFill="1" applyBorder="1" applyAlignment="1">
      <alignment horizontal="center" vertical="center"/>
    </xf>
    <xf numFmtId="1" fontId="4" fillId="0" borderId="9" xfId="0" applyNumberFormat="1" applyFont="1" applyBorder="1" applyAlignment="1">
      <alignment horizontal="center" vertical="center"/>
    </xf>
    <xf numFmtId="0" fontId="4" fillId="0" borderId="9" xfId="0" applyFont="1" applyBorder="1" applyAlignment="1">
      <alignment horizontal="center" vertical="center"/>
    </xf>
    <xf numFmtId="1" fontId="4" fillId="0" borderId="0" xfId="0" applyNumberFormat="1" applyFont="1" applyBorder="1" applyAlignment="1">
      <alignment horizontal="center" vertical="center"/>
    </xf>
    <xf numFmtId="0" fontId="2" fillId="0" borderId="16" xfId="0" applyFont="1" applyBorder="1"/>
    <xf numFmtId="1" fontId="2" fillId="0" borderId="16" xfId="0" applyNumberFormat="1" applyFont="1" applyBorder="1"/>
    <xf numFmtId="2" fontId="0" fillId="0" borderId="17" xfId="0" applyNumberFormat="1" applyBorder="1"/>
    <xf numFmtId="0" fontId="0" fillId="0" borderId="18" xfId="0" applyBorder="1"/>
    <xf numFmtId="0" fontId="0" fillId="0" borderId="19" xfId="0" applyBorder="1"/>
    <xf numFmtId="0" fontId="2" fillId="0" borderId="19" xfId="0" applyFont="1" applyBorder="1"/>
    <xf numFmtId="1" fontId="2" fillId="0" borderId="19" xfId="0" applyNumberFormat="1" applyFont="1" applyBorder="1"/>
    <xf numFmtId="2" fontId="0" fillId="0" borderId="20" xfId="0" applyNumberFormat="1" applyBorder="1"/>
    <xf numFmtId="0" fontId="0" fillId="0" borderId="21" xfId="0" applyBorder="1"/>
    <xf numFmtId="0" fontId="3" fillId="0" borderId="19" xfId="0" applyFont="1" applyBorder="1"/>
    <xf numFmtId="0" fontId="0" fillId="0" borderId="22" xfId="0" applyBorder="1"/>
    <xf numFmtId="0" fontId="4" fillId="0" borderId="8" xfId="0" applyFont="1" applyBorder="1" applyAlignment="1">
      <alignment horizontal="center" vertical="center" wrapText="1"/>
    </xf>
    <xf numFmtId="0" fontId="0" fillId="0" borderId="23" xfId="0" applyBorder="1"/>
    <xf numFmtId="0" fontId="0" fillId="0" borderId="7" xfId="0" applyBorder="1"/>
    <xf numFmtId="0" fontId="2" fillId="0" borderId="7" xfId="0" applyFont="1" applyBorder="1"/>
    <xf numFmtId="1" fontId="2" fillId="0" borderId="7" xfId="0" applyNumberFormat="1" applyFont="1" applyBorder="1"/>
    <xf numFmtId="2" fontId="0" fillId="0" borderId="24" xfId="0" applyNumberFormat="1" applyBorder="1"/>
    <xf numFmtId="0" fontId="4" fillId="0" borderId="5" xfId="0" applyFont="1" applyBorder="1" applyAlignment="1">
      <alignment horizontal="justify" vertical="justify" wrapText="1"/>
    </xf>
    <xf numFmtId="2" fontId="0" fillId="0" borderId="5" xfId="0" applyNumberFormat="1" applyBorder="1"/>
    <xf numFmtId="0" fontId="4" fillId="0" borderId="5" xfId="0" applyFont="1" applyBorder="1" applyAlignment="1">
      <alignment vertical="top" wrapText="1"/>
    </xf>
    <xf numFmtId="1" fontId="5" fillId="4" borderId="5" xfId="0" applyNumberFormat="1" applyFont="1" applyFill="1" applyBorder="1" applyAlignment="1">
      <alignment horizontal="center" vertical="center"/>
    </xf>
    <xf numFmtId="0" fontId="4" fillId="2" borderId="5" xfId="0" applyFont="1" applyFill="1" applyBorder="1" applyAlignment="1">
      <alignment vertical="top" wrapText="1"/>
    </xf>
    <xf numFmtId="49" fontId="4" fillId="3" borderId="5" xfId="0" applyNumberFormat="1" applyFont="1" applyFill="1" applyBorder="1" applyAlignment="1">
      <alignment horizontal="center" vertical="center" wrapText="1"/>
    </xf>
    <xf numFmtId="1" fontId="4" fillId="3" borderId="5" xfId="0" applyNumberFormat="1" applyFont="1" applyFill="1" applyBorder="1" applyAlignment="1">
      <alignment horizontal="center" vertical="center"/>
    </xf>
    <xf numFmtId="0" fontId="0" fillId="3" borderId="9" xfId="0" applyFill="1" applyBorder="1"/>
    <xf numFmtId="0" fontId="4" fillId="3" borderId="5" xfId="0" applyFont="1" applyFill="1" applyBorder="1" applyAlignment="1">
      <alignment vertical="center" wrapText="1"/>
    </xf>
    <xf numFmtId="0" fontId="4" fillId="0" borderId="4" xfId="0" applyFont="1" applyBorder="1" applyAlignment="1">
      <alignment vertical="center" wrapText="1"/>
    </xf>
    <xf numFmtId="1" fontId="5" fillId="3" borderId="0" xfId="0" applyNumberFormat="1" applyFont="1" applyFill="1" applyBorder="1" applyAlignment="1">
      <alignment horizontal="center" vertical="center"/>
    </xf>
    <xf numFmtId="2" fontId="0" fillId="0" borderId="0" xfId="0" applyNumberFormat="1" applyBorder="1"/>
    <xf numFmtId="0" fontId="2" fillId="0" borderId="5" xfId="0" applyFont="1" applyBorder="1" applyAlignment="1">
      <alignment horizontal="center"/>
    </xf>
    <xf numFmtId="1" fontId="2" fillId="0" borderId="5" xfId="0" applyNumberFormat="1" applyFont="1" applyBorder="1" applyAlignment="1">
      <alignment horizontal="center"/>
    </xf>
    <xf numFmtId="0" fontId="2" fillId="0" borderId="0" xfId="0" applyFont="1" applyBorder="1" applyAlignment="1">
      <alignment horizontal="center"/>
    </xf>
    <xf numFmtId="1" fontId="2" fillId="0" borderId="0" xfId="0" applyNumberFormat="1" applyFont="1" applyBorder="1" applyAlignment="1">
      <alignment horizontal="center"/>
    </xf>
    <xf numFmtId="2" fontId="0" fillId="0" borderId="9" xfId="0" applyNumberFormat="1" applyBorder="1"/>
    <xf numFmtId="2" fontId="2" fillId="0" borderId="5"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3"/>
  <sheetViews>
    <sheetView tabSelected="1" topLeftCell="E105" zoomScale="90" zoomScaleNormal="90" workbookViewId="0">
      <selection activeCell="E1" sqref="E1:O113"/>
    </sheetView>
  </sheetViews>
  <sheetFormatPr defaultRowHeight="15"/>
  <cols>
    <col min="2" max="2" width="7.85546875" customWidth="1"/>
    <col min="3" max="3" width="10.140625" customWidth="1"/>
    <col min="4" max="4" width="12.28515625" customWidth="1"/>
    <col min="5" max="5" width="9" customWidth="1"/>
    <col min="6" max="6" width="8.85546875" customWidth="1"/>
    <col min="7" max="7" width="20.140625" customWidth="1"/>
    <col min="8" max="8" width="37" customWidth="1"/>
    <col min="9" max="9" width="49.7109375" customWidth="1"/>
    <col min="10" max="10" width="39.140625" customWidth="1"/>
    <col min="11" max="11" width="37.5703125" customWidth="1"/>
  </cols>
  <sheetData>
    <row r="1" spans="1:18" ht="21">
      <c r="B1" s="1"/>
      <c r="C1" s="2"/>
      <c r="D1" s="2"/>
      <c r="E1" s="2"/>
      <c r="F1" s="2"/>
      <c r="G1" s="2"/>
      <c r="H1" s="3" t="s">
        <v>0</v>
      </c>
      <c r="I1" s="2"/>
      <c r="J1" s="2"/>
      <c r="K1" s="2"/>
      <c r="L1" s="2"/>
      <c r="M1" s="2"/>
      <c r="N1" s="2"/>
      <c r="O1" s="4"/>
    </row>
    <row r="2" spans="1:18" ht="108">
      <c r="A2" s="5" t="s">
        <v>1</v>
      </c>
      <c r="B2" s="6" t="s">
        <v>2</v>
      </c>
      <c r="C2" s="7" t="s">
        <v>3</v>
      </c>
      <c r="D2" s="7" t="s">
        <v>4</v>
      </c>
      <c r="E2" s="7" t="s">
        <v>5</v>
      </c>
      <c r="F2" s="7" t="s">
        <v>6</v>
      </c>
      <c r="G2" s="7" t="s">
        <v>7</v>
      </c>
      <c r="H2" s="8" t="s">
        <v>8</v>
      </c>
      <c r="I2" s="8" t="s">
        <v>9</v>
      </c>
      <c r="J2" s="8" t="s">
        <v>10</v>
      </c>
      <c r="K2" s="8" t="s">
        <v>11</v>
      </c>
      <c r="L2" s="8" t="s">
        <v>12</v>
      </c>
      <c r="M2" s="8" t="s">
        <v>13</v>
      </c>
      <c r="N2" s="8" t="s">
        <v>14</v>
      </c>
      <c r="O2" s="9"/>
    </row>
    <row r="3" spans="1:18" ht="107.25" customHeight="1">
      <c r="A3" s="10">
        <v>1</v>
      </c>
      <c r="B3" s="6">
        <v>1</v>
      </c>
      <c r="C3" s="11"/>
      <c r="D3" s="7" t="s">
        <v>0</v>
      </c>
      <c r="E3" s="12" t="s">
        <v>15</v>
      </c>
      <c r="F3" s="12" t="s">
        <v>16</v>
      </c>
      <c r="G3" s="12"/>
      <c r="H3" s="13" t="s">
        <v>17</v>
      </c>
      <c r="I3" s="14" t="s">
        <v>18</v>
      </c>
      <c r="J3" s="13" t="s">
        <v>19</v>
      </c>
      <c r="K3" s="13" t="s">
        <v>20</v>
      </c>
      <c r="L3" s="15">
        <v>670</v>
      </c>
      <c r="M3" s="16">
        <f t="shared" ref="M3:M9" si="0">L3*15/100</f>
        <v>100.5</v>
      </c>
      <c r="N3" s="16">
        <f t="shared" ref="N3:N9" si="1">L3+M3</f>
        <v>770.5</v>
      </c>
      <c r="O3" s="9"/>
    </row>
    <row r="4" spans="1:18" ht="74.25" customHeight="1">
      <c r="A4" s="10">
        <v>2</v>
      </c>
      <c r="B4" s="6">
        <v>3</v>
      </c>
      <c r="C4" s="11"/>
      <c r="D4" s="7" t="s">
        <v>0</v>
      </c>
      <c r="E4" s="12" t="s">
        <v>15</v>
      </c>
      <c r="F4" s="12" t="s">
        <v>21</v>
      </c>
      <c r="G4" s="12"/>
      <c r="H4" s="14" t="s">
        <v>22</v>
      </c>
      <c r="I4" s="14" t="s">
        <v>23</v>
      </c>
      <c r="J4" s="13" t="s">
        <v>24</v>
      </c>
      <c r="K4" s="13" t="s">
        <v>25</v>
      </c>
      <c r="L4" s="15">
        <v>477</v>
      </c>
      <c r="M4" s="16">
        <f t="shared" si="0"/>
        <v>71.55</v>
      </c>
      <c r="N4" s="16">
        <f t="shared" si="1"/>
        <v>548.54999999999995</v>
      </c>
      <c r="O4" s="9"/>
    </row>
    <row r="5" spans="1:18" ht="106.5" customHeight="1">
      <c r="A5" s="10">
        <v>3</v>
      </c>
      <c r="B5" s="6">
        <v>3</v>
      </c>
      <c r="C5" s="11"/>
      <c r="D5" s="7" t="s">
        <v>0</v>
      </c>
      <c r="E5" s="12" t="s">
        <v>15</v>
      </c>
      <c r="F5" s="12" t="s">
        <v>26</v>
      </c>
      <c r="G5" s="12"/>
      <c r="H5" s="14" t="s">
        <v>27</v>
      </c>
      <c r="I5" s="14" t="s">
        <v>28</v>
      </c>
      <c r="J5" s="14" t="s">
        <v>29</v>
      </c>
      <c r="K5" s="14" t="s">
        <v>30</v>
      </c>
      <c r="L5" s="15">
        <v>593</v>
      </c>
      <c r="M5" s="16">
        <f t="shared" si="0"/>
        <v>88.95</v>
      </c>
      <c r="N5" s="16">
        <f t="shared" si="1"/>
        <v>681.95</v>
      </c>
      <c r="O5" s="9"/>
    </row>
    <row r="6" spans="1:18" ht="72">
      <c r="A6" s="10">
        <v>4</v>
      </c>
      <c r="B6" s="6">
        <v>4</v>
      </c>
      <c r="C6" s="17">
        <v>2</v>
      </c>
      <c r="D6" s="7" t="s">
        <v>31</v>
      </c>
      <c r="E6" s="12" t="s">
        <v>32</v>
      </c>
      <c r="F6" s="12" t="s">
        <v>33</v>
      </c>
      <c r="G6" s="12"/>
      <c r="H6" s="14" t="s">
        <v>34</v>
      </c>
      <c r="I6" s="14" t="s">
        <v>35</v>
      </c>
      <c r="J6" s="14" t="s">
        <v>36</v>
      </c>
      <c r="K6" s="14" t="s">
        <v>37</v>
      </c>
      <c r="L6" s="15">
        <v>436</v>
      </c>
      <c r="M6" s="16">
        <f t="shared" si="0"/>
        <v>65.400000000000006</v>
      </c>
      <c r="N6" s="16">
        <f t="shared" si="1"/>
        <v>501.4</v>
      </c>
      <c r="O6" s="18"/>
      <c r="P6" s="19"/>
      <c r="Q6" s="16"/>
      <c r="R6" s="16"/>
    </row>
    <row r="7" spans="1:18" ht="72">
      <c r="A7" s="10">
        <v>5</v>
      </c>
      <c r="B7" s="6">
        <v>5</v>
      </c>
      <c r="C7" s="11"/>
      <c r="D7" s="7" t="s">
        <v>31</v>
      </c>
      <c r="E7" s="12" t="s">
        <v>32</v>
      </c>
      <c r="F7" s="12" t="s">
        <v>38</v>
      </c>
      <c r="G7" s="12"/>
      <c r="H7" s="14" t="s">
        <v>39</v>
      </c>
      <c r="I7" s="14" t="s">
        <v>40</v>
      </c>
      <c r="J7" s="14" t="s">
        <v>41</v>
      </c>
      <c r="K7" s="14" t="s">
        <v>42</v>
      </c>
      <c r="L7" s="15">
        <v>560</v>
      </c>
      <c r="M7" s="16">
        <f t="shared" si="0"/>
        <v>84</v>
      </c>
      <c r="N7" s="20">
        <f t="shared" si="1"/>
        <v>644</v>
      </c>
      <c r="O7" s="9"/>
    </row>
    <row r="8" spans="1:18" ht="54">
      <c r="A8" s="10">
        <v>6</v>
      </c>
      <c r="B8" s="21">
        <v>6</v>
      </c>
      <c r="C8" s="22"/>
      <c r="D8" s="23" t="s">
        <v>31</v>
      </c>
      <c r="E8" s="24" t="s">
        <v>32</v>
      </c>
      <c r="F8" s="12" t="s">
        <v>43</v>
      </c>
      <c r="G8" s="24"/>
      <c r="H8" s="25" t="s">
        <v>44</v>
      </c>
      <c r="I8" s="25" t="s">
        <v>45</v>
      </c>
      <c r="J8" s="25" t="s">
        <v>46</v>
      </c>
      <c r="K8" s="25" t="s">
        <v>47</v>
      </c>
      <c r="L8" s="26">
        <v>387</v>
      </c>
      <c r="M8" s="16">
        <f t="shared" si="0"/>
        <v>58.05</v>
      </c>
      <c r="N8" s="27">
        <f t="shared" si="1"/>
        <v>445.05</v>
      </c>
      <c r="O8" s="9"/>
    </row>
    <row r="9" spans="1:18" ht="54">
      <c r="A9" s="10">
        <v>7</v>
      </c>
      <c r="B9" s="21">
        <v>0</v>
      </c>
      <c r="C9" s="22"/>
      <c r="D9" s="23" t="s">
        <v>31</v>
      </c>
      <c r="E9" s="24" t="s">
        <v>32</v>
      </c>
      <c r="F9" s="12" t="s">
        <v>48</v>
      </c>
      <c r="G9" s="24"/>
      <c r="H9" s="25" t="s">
        <v>49</v>
      </c>
      <c r="I9" s="25" t="s">
        <v>50</v>
      </c>
      <c r="J9" s="25" t="s">
        <v>51</v>
      </c>
      <c r="K9" s="25" t="s">
        <v>52</v>
      </c>
      <c r="L9" s="26">
        <v>424</v>
      </c>
      <c r="M9" s="16">
        <f t="shared" si="0"/>
        <v>63.6</v>
      </c>
      <c r="N9" s="28">
        <f t="shared" si="1"/>
        <v>487.6</v>
      </c>
      <c r="O9" s="9"/>
    </row>
    <row r="10" spans="1:18">
      <c r="B10" s="29"/>
      <c r="C10" s="30"/>
      <c r="D10" s="30"/>
      <c r="E10" s="30"/>
      <c r="F10" s="30"/>
      <c r="G10" s="30"/>
      <c r="H10" s="30"/>
      <c r="I10" s="30"/>
      <c r="J10" s="30"/>
      <c r="K10" s="30"/>
      <c r="L10" s="31">
        <f>SUM(L3:L9)</f>
        <v>3547</v>
      </c>
      <c r="M10" s="32">
        <f>SUM(M3:M9)</f>
        <v>532.04999999999995</v>
      </c>
      <c r="N10" s="32">
        <f>SUM(N3:N9)</f>
        <v>4079.05</v>
      </c>
      <c r="O10" s="33">
        <f>N10/750</f>
        <v>5.4387333333333334</v>
      </c>
    </row>
    <row r="11" spans="1:18" ht="21">
      <c r="B11" s="34"/>
      <c r="C11" s="34"/>
      <c r="D11" s="34"/>
      <c r="E11" s="34"/>
      <c r="F11" s="34"/>
      <c r="G11" s="34"/>
      <c r="H11" s="35" t="s">
        <v>53</v>
      </c>
      <c r="I11" s="34"/>
      <c r="J11" s="34"/>
      <c r="K11" s="34"/>
      <c r="L11" s="34"/>
      <c r="M11" s="34"/>
      <c r="N11" s="34"/>
      <c r="O11" s="34"/>
    </row>
    <row r="12" spans="1:18" ht="54">
      <c r="A12" s="36">
        <v>8</v>
      </c>
      <c r="B12" s="7">
        <v>1</v>
      </c>
      <c r="C12" s="37"/>
      <c r="D12" s="7" t="s">
        <v>0</v>
      </c>
      <c r="E12" s="12" t="s">
        <v>15</v>
      </c>
      <c r="F12" s="12" t="s">
        <v>54</v>
      </c>
      <c r="G12" s="12"/>
      <c r="H12" s="14" t="s">
        <v>55</v>
      </c>
      <c r="I12" s="14" t="s">
        <v>56</v>
      </c>
      <c r="J12" s="14" t="s">
        <v>57</v>
      </c>
      <c r="K12" s="14" t="s">
        <v>58</v>
      </c>
      <c r="L12" s="15">
        <v>836</v>
      </c>
      <c r="M12" s="16">
        <f>L12*13/100</f>
        <v>108.68</v>
      </c>
      <c r="N12" s="20">
        <f t="shared" ref="N12:N18" si="2">L12+M12</f>
        <v>944.68000000000006</v>
      </c>
      <c r="O12" s="34"/>
    </row>
    <row r="13" spans="1:18" ht="90">
      <c r="A13" s="36">
        <v>9</v>
      </c>
      <c r="B13" s="23">
        <v>2</v>
      </c>
      <c r="C13" s="38"/>
      <c r="D13" s="23" t="s">
        <v>0</v>
      </c>
      <c r="E13" s="24" t="s">
        <v>15</v>
      </c>
      <c r="F13" s="12" t="s">
        <v>59</v>
      </c>
      <c r="G13" s="24"/>
      <c r="H13" s="25" t="s">
        <v>60</v>
      </c>
      <c r="I13" s="25" t="s">
        <v>61</v>
      </c>
      <c r="J13" s="25" t="s">
        <v>62</v>
      </c>
      <c r="K13" s="25" t="s">
        <v>63</v>
      </c>
      <c r="L13" s="26">
        <v>363</v>
      </c>
      <c r="M13" s="16">
        <f t="shared" ref="M13:M19" si="3">L13*13/100</f>
        <v>47.19</v>
      </c>
      <c r="N13" s="27">
        <f t="shared" si="2"/>
        <v>410.19</v>
      </c>
      <c r="O13" s="34"/>
    </row>
    <row r="14" spans="1:18" ht="54">
      <c r="A14" s="36">
        <v>10</v>
      </c>
      <c r="B14" s="23"/>
      <c r="C14" s="38"/>
      <c r="D14" s="23" t="s">
        <v>64</v>
      </c>
      <c r="E14" s="24" t="s">
        <v>65</v>
      </c>
      <c r="F14" s="12" t="s">
        <v>65</v>
      </c>
      <c r="G14" s="24"/>
      <c r="H14" s="25" t="s">
        <v>66</v>
      </c>
      <c r="I14" s="25" t="s">
        <v>67</v>
      </c>
      <c r="J14" s="25" t="s">
        <v>68</v>
      </c>
      <c r="K14" s="25" t="s">
        <v>69</v>
      </c>
      <c r="L14" s="26">
        <v>425</v>
      </c>
      <c r="M14" s="16">
        <f t="shared" si="3"/>
        <v>55.25</v>
      </c>
      <c r="N14" s="28">
        <f t="shared" si="2"/>
        <v>480.25</v>
      </c>
      <c r="O14" s="34"/>
    </row>
    <row r="15" spans="1:18" ht="36">
      <c r="A15" s="36">
        <v>11</v>
      </c>
      <c r="B15" s="7">
        <v>3</v>
      </c>
      <c r="C15" s="37"/>
      <c r="D15" s="7" t="s">
        <v>64</v>
      </c>
      <c r="E15" s="12" t="s">
        <v>65</v>
      </c>
      <c r="F15" s="12" t="s">
        <v>70</v>
      </c>
      <c r="G15" s="12"/>
      <c r="H15" s="14" t="s">
        <v>71</v>
      </c>
      <c r="I15" s="14" t="s">
        <v>72</v>
      </c>
      <c r="J15" s="14" t="s">
        <v>73</v>
      </c>
      <c r="K15" s="14" t="s">
        <v>74</v>
      </c>
      <c r="L15" s="15">
        <v>595</v>
      </c>
      <c r="M15" s="16">
        <f t="shared" si="3"/>
        <v>77.349999999999994</v>
      </c>
      <c r="N15" s="16">
        <f t="shared" si="2"/>
        <v>672.35</v>
      </c>
      <c r="O15" s="34"/>
    </row>
    <row r="16" spans="1:18" ht="36">
      <c r="A16" s="36">
        <v>12</v>
      </c>
      <c r="B16" s="7">
        <v>4</v>
      </c>
      <c r="C16" s="37"/>
      <c r="D16" s="7" t="s">
        <v>64</v>
      </c>
      <c r="E16" s="12" t="s">
        <v>65</v>
      </c>
      <c r="F16" s="12" t="s">
        <v>75</v>
      </c>
      <c r="G16" s="12"/>
      <c r="H16" s="13" t="s">
        <v>76</v>
      </c>
      <c r="I16" s="13" t="s">
        <v>77</v>
      </c>
      <c r="J16" s="13" t="s">
        <v>78</v>
      </c>
      <c r="K16" s="13" t="s">
        <v>79</v>
      </c>
      <c r="L16" s="15">
        <v>682</v>
      </c>
      <c r="M16" s="16">
        <f t="shared" si="3"/>
        <v>88.66</v>
      </c>
      <c r="N16" s="16">
        <f t="shared" si="2"/>
        <v>770.66</v>
      </c>
      <c r="O16" s="34"/>
    </row>
    <row r="17" spans="1:17" ht="90">
      <c r="A17" s="36">
        <v>13</v>
      </c>
      <c r="B17" s="7">
        <v>5</v>
      </c>
      <c r="C17" s="37"/>
      <c r="D17" s="7" t="s">
        <v>53</v>
      </c>
      <c r="E17" s="12" t="s">
        <v>16</v>
      </c>
      <c r="F17" s="12" t="s">
        <v>32</v>
      </c>
      <c r="G17" s="12"/>
      <c r="H17" s="14" t="s">
        <v>80</v>
      </c>
      <c r="I17" s="14" t="s">
        <v>81</v>
      </c>
      <c r="J17" s="14" t="s">
        <v>82</v>
      </c>
      <c r="K17" s="14" t="s">
        <v>83</v>
      </c>
      <c r="L17" s="15">
        <v>564</v>
      </c>
      <c r="M17" s="16">
        <f t="shared" si="3"/>
        <v>73.319999999999993</v>
      </c>
      <c r="N17" s="16">
        <f t="shared" si="2"/>
        <v>637.31999999999994</v>
      </c>
      <c r="O17" s="34"/>
    </row>
    <row r="18" spans="1:17" ht="72">
      <c r="A18" s="36">
        <v>14</v>
      </c>
      <c r="B18" s="7">
        <v>6</v>
      </c>
      <c r="C18" s="37"/>
      <c r="D18" s="7" t="s">
        <v>53</v>
      </c>
      <c r="E18" s="12" t="s">
        <v>16</v>
      </c>
      <c r="F18" s="12" t="s">
        <v>84</v>
      </c>
      <c r="G18" s="12"/>
      <c r="H18" s="14" t="s">
        <v>85</v>
      </c>
      <c r="I18" s="14" t="s">
        <v>86</v>
      </c>
      <c r="J18" s="14" t="s">
        <v>87</v>
      </c>
      <c r="K18" s="14" t="s">
        <v>88</v>
      </c>
      <c r="L18" s="15">
        <v>624</v>
      </c>
      <c r="M18" s="16">
        <f t="shared" si="3"/>
        <v>81.12</v>
      </c>
      <c r="N18" s="16">
        <f t="shared" si="2"/>
        <v>705.12</v>
      </c>
      <c r="O18" s="34"/>
    </row>
    <row r="19" spans="1:17" ht="18">
      <c r="B19" s="34"/>
      <c r="C19" s="34"/>
      <c r="D19" s="34"/>
      <c r="E19" s="34"/>
      <c r="F19" s="34"/>
      <c r="G19" s="34"/>
      <c r="H19" s="34"/>
      <c r="I19" s="34"/>
      <c r="J19" s="34"/>
      <c r="K19" s="34"/>
      <c r="L19" s="39">
        <f>SUM(L12:L18)</f>
        <v>4089</v>
      </c>
      <c r="M19" s="16">
        <f t="shared" si="3"/>
        <v>531.57000000000005</v>
      </c>
      <c r="N19" s="40">
        <f>SUM(N12:N18)</f>
        <v>4620.57</v>
      </c>
      <c r="O19" s="34">
        <f>N19/750</f>
        <v>6.1607599999999998</v>
      </c>
    </row>
    <row r="20" spans="1:17" ht="15.75" thickBot="1">
      <c r="B20" s="30"/>
      <c r="C20" s="30"/>
      <c r="D20" s="30"/>
      <c r="E20" s="30"/>
      <c r="F20" s="30"/>
      <c r="G20" s="30"/>
      <c r="H20" s="30"/>
      <c r="I20" s="30"/>
      <c r="J20" s="30"/>
      <c r="K20" s="30"/>
      <c r="L20" s="31"/>
      <c r="M20" s="32"/>
      <c r="N20" s="32"/>
      <c r="O20" s="30"/>
    </row>
    <row r="21" spans="1:17" ht="21">
      <c r="B21" s="41"/>
      <c r="C21" s="42"/>
      <c r="D21" s="42"/>
      <c r="E21" s="42"/>
      <c r="F21" s="42"/>
      <c r="G21" s="42"/>
      <c r="H21" s="43" t="s">
        <v>89</v>
      </c>
      <c r="I21" s="42"/>
      <c r="J21" s="42"/>
      <c r="K21" s="42"/>
      <c r="L21" s="42"/>
      <c r="M21" s="42"/>
      <c r="N21" s="42"/>
      <c r="O21" s="44"/>
    </row>
    <row r="22" spans="1:17" ht="72">
      <c r="A22">
        <v>15</v>
      </c>
      <c r="B22" s="6">
        <v>1</v>
      </c>
      <c r="C22" s="37"/>
      <c r="D22" s="7" t="s">
        <v>89</v>
      </c>
      <c r="E22" s="12" t="s">
        <v>21</v>
      </c>
      <c r="F22" s="12" t="s">
        <v>90</v>
      </c>
      <c r="G22" s="12"/>
      <c r="H22" s="14" t="s">
        <v>91</v>
      </c>
      <c r="I22" s="14" t="s">
        <v>92</v>
      </c>
      <c r="J22" s="14" t="s">
        <v>93</v>
      </c>
      <c r="K22" s="14" t="s">
        <v>94</v>
      </c>
      <c r="L22" s="45">
        <v>834</v>
      </c>
      <c r="M22" s="20">
        <f>L22*13/100</f>
        <v>108.42</v>
      </c>
      <c r="N22" s="20">
        <f t="shared" ref="N22:N26" si="4">L22+M22</f>
        <v>942.42</v>
      </c>
      <c r="O22" s="46"/>
    </row>
    <row r="23" spans="1:17" ht="36">
      <c r="A23">
        <v>16</v>
      </c>
      <c r="B23" s="6">
        <v>2</v>
      </c>
      <c r="C23" s="37"/>
      <c r="D23" s="7" t="s">
        <v>53</v>
      </c>
      <c r="E23" s="12" t="s">
        <v>16</v>
      </c>
      <c r="F23" s="12" t="s">
        <v>95</v>
      </c>
      <c r="G23" s="12"/>
      <c r="H23" s="14" t="s">
        <v>96</v>
      </c>
      <c r="I23" s="14" t="s">
        <v>97</v>
      </c>
      <c r="J23" s="14" t="s">
        <v>98</v>
      </c>
      <c r="K23" s="14" t="s">
        <v>99</v>
      </c>
      <c r="L23" s="45">
        <v>638</v>
      </c>
      <c r="M23" s="20">
        <f t="shared" ref="M23:M27" si="5">L23*13/100</f>
        <v>82.94</v>
      </c>
      <c r="N23" s="20">
        <f t="shared" si="4"/>
        <v>720.94</v>
      </c>
      <c r="O23" s="46"/>
    </row>
    <row r="24" spans="1:17" ht="36">
      <c r="A24">
        <v>17</v>
      </c>
      <c r="B24" s="6">
        <v>3</v>
      </c>
      <c r="C24" s="47"/>
      <c r="D24" s="48" t="s">
        <v>89</v>
      </c>
      <c r="E24" s="49" t="s">
        <v>21</v>
      </c>
      <c r="F24" s="12" t="s">
        <v>100</v>
      </c>
      <c r="G24" s="49"/>
      <c r="H24" s="14" t="s">
        <v>101</v>
      </c>
      <c r="I24" s="14" t="s">
        <v>102</v>
      </c>
      <c r="J24" s="14" t="s">
        <v>103</v>
      </c>
      <c r="K24" s="14" t="s">
        <v>104</v>
      </c>
      <c r="L24" s="50">
        <v>787</v>
      </c>
      <c r="M24" s="20">
        <f t="shared" si="5"/>
        <v>102.31</v>
      </c>
      <c r="N24" s="51">
        <f t="shared" si="4"/>
        <v>889.31</v>
      </c>
      <c r="O24" s="46"/>
    </row>
    <row r="25" spans="1:17" ht="54">
      <c r="A25">
        <v>18</v>
      </c>
      <c r="B25" s="6">
        <v>4</v>
      </c>
      <c r="C25" s="37">
        <v>4</v>
      </c>
      <c r="D25" s="7" t="s">
        <v>105</v>
      </c>
      <c r="E25" s="12" t="s">
        <v>26</v>
      </c>
      <c r="F25" s="12" t="s">
        <v>106</v>
      </c>
      <c r="G25" s="12"/>
      <c r="H25" s="14" t="s">
        <v>107</v>
      </c>
      <c r="I25" s="14" t="s">
        <v>108</v>
      </c>
      <c r="J25" s="14" t="s">
        <v>109</v>
      </c>
      <c r="K25" s="14" t="s">
        <v>110</v>
      </c>
      <c r="L25" s="45">
        <v>509</v>
      </c>
      <c r="M25" s="20">
        <f t="shared" si="5"/>
        <v>66.17</v>
      </c>
      <c r="N25" s="20">
        <f t="shared" si="4"/>
        <v>575.16999999999996</v>
      </c>
      <c r="O25" s="46"/>
    </row>
    <row r="26" spans="1:17" ht="36">
      <c r="A26">
        <v>19</v>
      </c>
      <c r="B26" s="6">
        <v>5</v>
      </c>
      <c r="C26" s="37"/>
      <c r="D26" s="7" t="s">
        <v>105</v>
      </c>
      <c r="E26" s="12" t="s">
        <v>26</v>
      </c>
      <c r="F26" s="12" t="s">
        <v>111</v>
      </c>
      <c r="G26" s="12"/>
      <c r="H26" s="13" t="s">
        <v>112</v>
      </c>
      <c r="I26" s="52" t="s">
        <v>113</v>
      </c>
      <c r="J26" s="52" t="s">
        <v>114</v>
      </c>
      <c r="K26" s="52" t="s">
        <v>115</v>
      </c>
      <c r="L26" s="53">
        <v>509</v>
      </c>
      <c r="M26" s="20">
        <f t="shared" si="5"/>
        <v>66.17</v>
      </c>
      <c r="N26" s="54">
        <f t="shared" si="4"/>
        <v>575.16999999999996</v>
      </c>
      <c r="O26" s="46"/>
    </row>
    <row r="27" spans="1:17" ht="18.75" thickBot="1">
      <c r="B27" s="55"/>
      <c r="C27" s="56"/>
      <c r="D27" s="56"/>
      <c r="E27" s="56"/>
      <c r="F27" s="56"/>
      <c r="G27" s="56"/>
      <c r="H27" s="56"/>
      <c r="I27" s="56"/>
      <c r="J27" s="56"/>
      <c r="K27" s="56"/>
      <c r="L27" s="57">
        <f>SUM(L22:L26)</f>
        <v>3277</v>
      </c>
      <c r="M27" s="20">
        <f t="shared" si="5"/>
        <v>426.01</v>
      </c>
      <c r="N27" s="58">
        <f>SUM(N22:N26)</f>
        <v>3703.01</v>
      </c>
      <c r="O27" s="59">
        <f>N27/750</f>
        <v>4.9373466666666666</v>
      </c>
    </row>
    <row r="28" spans="1:17" ht="15.75" thickBot="1">
      <c r="L28" s="60"/>
      <c r="M28" s="61"/>
      <c r="N28" s="61"/>
      <c r="O28" s="62"/>
    </row>
    <row r="29" spans="1:17" ht="21">
      <c r="B29" s="41"/>
      <c r="C29" s="42"/>
      <c r="D29" s="42"/>
      <c r="E29" s="42"/>
      <c r="F29" s="42"/>
      <c r="G29" s="42"/>
      <c r="H29" s="43" t="s">
        <v>105</v>
      </c>
      <c r="I29" s="42"/>
      <c r="J29" s="42"/>
      <c r="K29" s="42"/>
      <c r="L29" s="42"/>
      <c r="M29" s="42"/>
      <c r="N29" s="42"/>
      <c r="O29" s="44"/>
    </row>
    <row r="30" spans="1:17" ht="54">
      <c r="A30" s="10">
        <v>20</v>
      </c>
      <c r="B30" s="6">
        <v>1</v>
      </c>
      <c r="C30" s="37">
        <v>4</v>
      </c>
      <c r="D30" s="7" t="s">
        <v>105</v>
      </c>
      <c r="E30" s="12" t="s">
        <v>26</v>
      </c>
      <c r="F30" s="12" t="s">
        <v>116</v>
      </c>
      <c r="G30" s="12"/>
      <c r="H30" s="14" t="s">
        <v>117</v>
      </c>
      <c r="I30" s="63" t="s">
        <v>118</v>
      </c>
      <c r="J30" s="63" t="s">
        <v>119</v>
      </c>
      <c r="K30" s="63" t="s">
        <v>120</v>
      </c>
      <c r="L30" s="64">
        <v>758</v>
      </c>
      <c r="M30" s="16">
        <f>L30*13/100</f>
        <v>98.54</v>
      </c>
      <c r="N30" s="54">
        <f t="shared" ref="N30:N34" si="6">L30+M30</f>
        <v>856.54</v>
      </c>
      <c r="O30" s="46"/>
    </row>
    <row r="31" spans="1:17" ht="36">
      <c r="A31" s="10">
        <v>21</v>
      </c>
      <c r="B31" s="65">
        <v>2</v>
      </c>
      <c r="C31" s="66"/>
      <c r="D31" s="67" t="s">
        <v>105</v>
      </c>
      <c r="E31" s="68" t="s">
        <v>26</v>
      </c>
      <c r="F31" s="12" t="s">
        <v>121</v>
      </c>
      <c r="G31" s="68"/>
      <c r="H31" s="69" t="s">
        <v>122</v>
      </c>
      <c r="I31" s="69" t="s">
        <v>123</v>
      </c>
      <c r="J31" s="69" t="s">
        <v>124</v>
      </c>
      <c r="K31" s="69" t="s">
        <v>125</v>
      </c>
      <c r="L31" s="70">
        <v>334</v>
      </c>
      <c r="M31" s="16">
        <f t="shared" ref="M31:M35" si="7">L31*13/100</f>
        <v>43.42</v>
      </c>
      <c r="N31" s="71">
        <f t="shared" si="6"/>
        <v>377.42</v>
      </c>
      <c r="O31" s="46"/>
    </row>
    <row r="32" spans="1:17" ht="52.5" customHeight="1">
      <c r="A32" s="10">
        <v>22</v>
      </c>
      <c r="B32" s="6">
        <v>3</v>
      </c>
      <c r="C32" s="37"/>
      <c r="D32" s="7" t="s">
        <v>126</v>
      </c>
      <c r="E32" s="12" t="s">
        <v>111</v>
      </c>
      <c r="F32" s="12" t="s">
        <v>127</v>
      </c>
      <c r="G32" s="12"/>
      <c r="H32" s="14" t="s">
        <v>128</v>
      </c>
      <c r="I32" s="14" t="s">
        <v>129</v>
      </c>
      <c r="J32" s="14" t="s">
        <v>130</v>
      </c>
      <c r="K32" s="14" t="s">
        <v>131</v>
      </c>
      <c r="L32" s="15">
        <v>628</v>
      </c>
      <c r="M32" s="16">
        <f t="shared" si="7"/>
        <v>81.64</v>
      </c>
      <c r="N32" s="16">
        <f t="shared" si="6"/>
        <v>709.64</v>
      </c>
      <c r="O32" s="72"/>
      <c r="P32" s="30"/>
      <c r="Q32" s="30"/>
    </row>
    <row r="33" spans="1:17" ht="36">
      <c r="A33" s="10">
        <v>23</v>
      </c>
      <c r="B33" s="6">
        <v>4</v>
      </c>
      <c r="C33" s="37"/>
      <c r="D33" s="7" t="s">
        <v>132</v>
      </c>
      <c r="E33" s="12" t="s">
        <v>54</v>
      </c>
      <c r="F33" s="12" t="s">
        <v>133</v>
      </c>
      <c r="G33" s="12"/>
      <c r="H33" s="14" t="s">
        <v>134</v>
      </c>
      <c r="I33" s="14" t="s">
        <v>135</v>
      </c>
      <c r="J33" s="14" t="s">
        <v>136</v>
      </c>
      <c r="K33" s="14" t="s">
        <v>137</v>
      </c>
      <c r="L33" s="15">
        <v>541</v>
      </c>
      <c r="M33" s="16">
        <f t="shared" si="7"/>
        <v>70.33</v>
      </c>
      <c r="N33" s="16">
        <f t="shared" si="6"/>
        <v>611.33000000000004</v>
      </c>
      <c r="O33" s="46"/>
      <c r="P33" s="30"/>
      <c r="Q33" s="30"/>
    </row>
    <row r="34" spans="1:17" ht="36">
      <c r="A34" s="10">
        <v>24</v>
      </c>
      <c r="B34" s="65">
        <v>5</v>
      </c>
      <c r="C34" s="66"/>
      <c r="D34" s="67" t="s">
        <v>132</v>
      </c>
      <c r="E34" s="68" t="s">
        <v>54</v>
      </c>
      <c r="F34" s="68" t="s">
        <v>138</v>
      </c>
      <c r="G34" s="68"/>
      <c r="H34" s="69" t="s">
        <v>139</v>
      </c>
      <c r="I34" s="69" t="s">
        <v>140</v>
      </c>
      <c r="J34" s="69" t="s">
        <v>141</v>
      </c>
      <c r="K34" s="69" t="s">
        <v>142</v>
      </c>
      <c r="L34" s="70">
        <v>465</v>
      </c>
      <c r="M34" s="71">
        <f t="shared" si="7"/>
        <v>60.45</v>
      </c>
      <c r="N34" s="71">
        <f t="shared" si="6"/>
        <v>525.45000000000005</v>
      </c>
      <c r="O34" s="73"/>
      <c r="P34" s="74"/>
      <c r="Q34" s="74"/>
    </row>
    <row r="35" spans="1:17" ht="18.75" thickBot="1">
      <c r="B35" s="55"/>
      <c r="C35" s="56"/>
      <c r="D35" s="56"/>
      <c r="E35" s="56"/>
      <c r="F35" s="56"/>
      <c r="G35" s="56"/>
      <c r="H35" s="56"/>
      <c r="I35" s="56"/>
      <c r="J35" s="56"/>
      <c r="K35" s="56"/>
      <c r="L35" s="75">
        <f>SUM(L30:L34)</f>
        <v>2726</v>
      </c>
      <c r="M35" s="16">
        <f t="shared" si="7"/>
        <v>354.38</v>
      </c>
      <c r="N35" s="76">
        <f>SUM(N30:N34)</f>
        <v>3080.38</v>
      </c>
      <c r="O35" s="77">
        <f>N35/750</f>
        <v>4.1071733333333338</v>
      </c>
    </row>
    <row r="36" spans="1:17">
      <c r="B36" s="78"/>
      <c r="C36" s="79"/>
      <c r="D36" s="79"/>
      <c r="E36" s="79"/>
      <c r="F36" s="79"/>
      <c r="G36" s="79"/>
      <c r="H36" s="79"/>
      <c r="I36" s="79"/>
      <c r="J36" s="79"/>
      <c r="K36" s="79"/>
      <c r="L36" s="80"/>
      <c r="M36" s="81"/>
      <c r="N36" s="81"/>
      <c r="O36" s="82"/>
    </row>
    <row r="37" spans="1:17" ht="21">
      <c r="B37" s="83"/>
      <c r="C37" s="79"/>
      <c r="D37" s="79"/>
      <c r="E37" s="79"/>
      <c r="F37" s="79"/>
      <c r="G37" s="79"/>
      <c r="H37" s="84" t="s">
        <v>132</v>
      </c>
      <c r="I37" s="79"/>
      <c r="J37" s="79"/>
      <c r="K37" s="79"/>
      <c r="L37" s="79"/>
      <c r="M37" s="79"/>
      <c r="N37" s="79"/>
      <c r="O37" s="85"/>
    </row>
    <row r="38" spans="1:17" ht="36">
      <c r="A38" s="10">
        <v>25</v>
      </c>
      <c r="B38" s="6">
        <v>1</v>
      </c>
      <c r="C38" s="37">
        <v>5</v>
      </c>
      <c r="D38" s="7" t="s">
        <v>143</v>
      </c>
      <c r="E38" s="12" t="s">
        <v>59</v>
      </c>
      <c r="F38" s="12" t="s">
        <v>144</v>
      </c>
      <c r="G38" s="12"/>
      <c r="H38" s="14" t="s">
        <v>145</v>
      </c>
      <c r="I38" s="14" t="s">
        <v>146</v>
      </c>
      <c r="J38" s="14" t="s">
        <v>147</v>
      </c>
      <c r="K38" s="14" t="s">
        <v>148</v>
      </c>
      <c r="L38" s="15">
        <v>446</v>
      </c>
      <c r="M38" s="16">
        <f>L38*13/100</f>
        <v>57.98</v>
      </c>
      <c r="N38" s="16">
        <f t="shared" ref="N38:N43" si="8">L38+M38</f>
        <v>503.98</v>
      </c>
      <c r="O38" s="46"/>
    </row>
    <row r="39" spans="1:17" ht="36">
      <c r="A39" s="10">
        <v>26</v>
      </c>
      <c r="B39" s="6">
        <v>2</v>
      </c>
      <c r="C39" s="37"/>
      <c r="D39" s="7" t="s">
        <v>143</v>
      </c>
      <c r="E39" s="12" t="s">
        <v>59</v>
      </c>
      <c r="F39" s="12" t="s">
        <v>149</v>
      </c>
      <c r="G39" s="12"/>
      <c r="H39" s="14" t="s">
        <v>150</v>
      </c>
      <c r="I39" s="14" t="s">
        <v>151</v>
      </c>
      <c r="J39" s="14" t="s">
        <v>152</v>
      </c>
      <c r="K39" s="14" t="s">
        <v>153</v>
      </c>
      <c r="L39" s="15">
        <v>678</v>
      </c>
      <c r="M39" s="16">
        <f t="shared" ref="M39:M43" si="9">L39*13/100</f>
        <v>88.14</v>
      </c>
      <c r="N39" s="16">
        <f t="shared" si="8"/>
        <v>766.14</v>
      </c>
      <c r="O39" s="46"/>
    </row>
    <row r="40" spans="1:17" ht="36">
      <c r="A40" s="10">
        <v>27</v>
      </c>
      <c r="B40" s="6">
        <v>3</v>
      </c>
      <c r="C40" s="37"/>
      <c r="D40" s="7" t="s">
        <v>143</v>
      </c>
      <c r="E40" s="12" t="s">
        <v>59</v>
      </c>
      <c r="F40" s="12" t="s">
        <v>154</v>
      </c>
      <c r="G40" s="12"/>
      <c r="H40" s="14" t="s">
        <v>155</v>
      </c>
      <c r="I40" s="14" t="s">
        <v>156</v>
      </c>
      <c r="J40" s="14" t="s">
        <v>157</v>
      </c>
      <c r="K40" s="14" t="s">
        <v>158</v>
      </c>
      <c r="L40" s="15">
        <v>469</v>
      </c>
      <c r="M40" s="16">
        <f t="shared" si="9"/>
        <v>60.97</v>
      </c>
      <c r="N40" s="16">
        <f t="shared" si="8"/>
        <v>529.97</v>
      </c>
      <c r="O40" s="46"/>
    </row>
    <row r="41" spans="1:17" ht="36">
      <c r="A41" s="10">
        <v>28</v>
      </c>
      <c r="B41" s="6">
        <v>4</v>
      </c>
      <c r="C41" s="37"/>
      <c r="D41" s="7" t="s">
        <v>159</v>
      </c>
      <c r="E41" s="12" t="s">
        <v>70</v>
      </c>
      <c r="F41" s="12" t="s">
        <v>160</v>
      </c>
      <c r="G41" s="12"/>
      <c r="H41" s="14" t="s">
        <v>161</v>
      </c>
      <c r="I41" s="14" t="s">
        <v>162</v>
      </c>
      <c r="J41" s="14" t="s">
        <v>163</v>
      </c>
      <c r="K41" s="14" t="s">
        <v>164</v>
      </c>
      <c r="L41" s="15">
        <v>764</v>
      </c>
      <c r="M41" s="16">
        <f t="shared" si="9"/>
        <v>99.32</v>
      </c>
      <c r="N41" s="20">
        <f t="shared" si="8"/>
        <v>863.31999999999994</v>
      </c>
      <c r="O41" s="46"/>
    </row>
    <row r="42" spans="1:17" ht="36">
      <c r="A42" s="10">
        <v>29</v>
      </c>
      <c r="B42" s="6">
        <v>5</v>
      </c>
      <c r="C42" s="37"/>
      <c r="D42" s="7" t="s">
        <v>159</v>
      </c>
      <c r="E42" s="12" t="s">
        <v>70</v>
      </c>
      <c r="F42" s="12" t="s">
        <v>165</v>
      </c>
      <c r="G42" s="12"/>
      <c r="H42" s="14" t="s">
        <v>166</v>
      </c>
      <c r="I42" s="14" t="s">
        <v>167</v>
      </c>
      <c r="J42" s="14" t="s">
        <v>168</v>
      </c>
      <c r="K42" s="14" t="s">
        <v>169</v>
      </c>
      <c r="L42" s="15">
        <v>571</v>
      </c>
      <c r="M42" s="16">
        <f t="shared" si="9"/>
        <v>74.23</v>
      </c>
      <c r="N42" s="16">
        <f t="shared" si="8"/>
        <v>645.23</v>
      </c>
      <c r="O42" s="46"/>
    </row>
    <row r="43" spans="1:17" ht="36.75" thickBot="1">
      <c r="A43" s="10">
        <v>30</v>
      </c>
      <c r="B43" s="7">
        <v>36</v>
      </c>
      <c r="C43" s="86">
        <v>42</v>
      </c>
      <c r="D43" s="7" t="s">
        <v>170</v>
      </c>
      <c r="E43" s="12" t="s">
        <v>100</v>
      </c>
      <c r="F43" s="12" t="s">
        <v>171</v>
      </c>
      <c r="G43" s="12"/>
      <c r="H43" s="14" t="s">
        <v>172</v>
      </c>
      <c r="I43" s="14" t="s">
        <v>173</v>
      </c>
      <c r="J43" s="14" t="s">
        <v>174</v>
      </c>
      <c r="K43" s="14" t="s">
        <v>175</v>
      </c>
      <c r="L43" s="15">
        <v>505</v>
      </c>
      <c r="M43" s="16">
        <f t="shared" si="9"/>
        <v>65.650000000000006</v>
      </c>
      <c r="N43" s="16">
        <f t="shared" si="8"/>
        <v>570.65</v>
      </c>
      <c r="O43" s="77"/>
    </row>
    <row r="44" spans="1:17">
      <c r="B44" s="87"/>
      <c r="C44" s="88"/>
      <c r="D44" s="88"/>
      <c r="E44" s="88"/>
      <c r="F44" s="88"/>
      <c r="G44" s="88"/>
      <c r="H44" s="88"/>
      <c r="I44" s="88"/>
      <c r="J44" s="88"/>
      <c r="K44" s="88"/>
      <c r="L44" s="89">
        <f>SUM(L38:L43)</f>
        <v>3433</v>
      </c>
      <c r="M44" s="90">
        <f>SUM(M38:M43)</f>
        <v>446.28999999999996</v>
      </c>
      <c r="N44" s="90">
        <f>SUM(N38:N43)</f>
        <v>3879.29</v>
      </c>
      <c r="O44" s="91">
        <f>N44/750</f>
        <v>5.1723866666666662</v>
      </c>
    </row>
    <row r="45" spans="1:17" ht="21">
      <c r="B45" s="79"/>
      <c r="C45" s="79"/>
      <c r="D45" s="79"/>
      <c r="E45" s="79"/>
      <c r="F45" s="79"/>
      <c r="G45" s="79"/>
      <c r="H45" s="84" t="s">
        <v>143</v>
      </c>
      <c r="I45" s="79"/>
      <c r="J45" s="79"/>
      <c r="K45" s="79"/>
      <c r="L45" s="79"/>
      <c r="M45" s="79"/>
      <c r="N45" s="79"/>
      <c r="O45" s="79"/>
    </row>
    <row r="46" spans="1:17" ht="36">
      <c r="A46" s="36">
        <v>31</v>
      </c>
      <c r="B46" s="7">
        <v>1</v>
      </c>
      <c r="C46" s="37">
        <v>6</v>
      </c>
      <c r="D46" s="7" t="s">
        <v>159</v>
      </c>
      <c r="E46" s="12" t="s">
        <v>75</v>
      </c>
      <c r="F46" s="12" t="s">
        <v>176</v>
      </c>
      <c r="G46" s="12"/>
      <c r="H46" s="14" t="s">
        <v>177</v>
      </c>
      <c r="I46" s="14" t="s">
        <v>178</v>
      </c>
      <c r="J46" s="14" t="s">
        <v>179</v>
      </c>
      <c r="K46" s="14" t="s">
        <v>180</v>
      </c>
      <c r="L46" s="15">
        <v>660</v>
      </c>
      <c r="M46" s="16">
        <f>L46*13/100</f>
        <v>85.8</v>
      </c>
      <c r="N46" s="16">
        <f t="shared" ref="N46:N47" si="10">L46+M46</f>
        <v>745.8</v>
      </c>
      <c r="O46" s="34"/>
    </row>
    <row r="47" spans="1:17" ht="72">
      <c r="A47" s="36">
        <v>32</v>
      </c>
      <c r="B47" s="7">
        <v>2</v>
      </c>
      <c r="C47" s="37"/>
      <c r="D47" s="7" t="s">
        <v>31</v>
      </c>
      <c r="E47" s="12" t="s">
        <v>32</v>
      </c>
      <c r="F47" s="12" t="s">
        <v>181</v>
      </c>
      <c r="G47" s="12"/>
      <c r="H47" s="14" t="s">
        <v>182</v>
      </c>
      <c r="I47" s="14" t="s">
        <v>183</v>
      </c>
      <c r="J47" s="14" t="s">
        <v>184</v>
      </c>
      <c r="K47" s="14" t="s">
        <v>185</v>
      </c>
      <c r="L47" s="15">
        <v>709</v>
      </c>
      <c r="M47" s="16">
        <f t="shared" ref="M47:M52" si="11">L47*13/100</f>
        <v>92.17</v>
      </c>
      <c r="N47" s="16">
        <f t="shared" si="10"/>
        <v>801.17</v>
      </c>
      <c r="O47" s="34"/>
    </row>
    <row r="48" spans="1:17" ht="108">
      <c r="A48" s="36">
        <v>33</v>
      </c>
      <c r="B48" s="7">
        <v>3</v>
      </c>
      <c r="C48" s="37"/>
      <c r="D48" s="7" t="s">
        <v>0</v>
      </c>
      <c r="E48" s="12" t="s">
        <v>15</v>
      </c>
      <c r="F48" s="12" t="s">
        <v>15</v>
      </c>
      <c r="G48" s="12"/>
      <c r="H48" s="14" t="s">
        <v>186</v>
      </c>
      <c r="I48" s="92" t="s">
        <v>187</v>
      </c>
      <c r="J48" s="14" t="s">
        <v>188</v>
      </c>
      <c r="K48" s="14" t="s">
        <v>189</v>
      </c>
      <c r="L48" s="15">
        <v>550</v>
      </c>
      <c r="M48" s="16">
        <f t="shared" si="11"/>
        <v>71.5</v>
      </c>
      <c r="N48" s="16">
        <f>L48+M48</f>
        <v>621.5</v>
      </c>
      <c r="O48" s="34"/>
    </row>
    <row r="49" spans="1:15" ht="72">
      <c r="A49" s="36">
        <v>34</v>
      </c>
      <c r="B49" s="7">
        <v>4</v>
      </c>
      <c r="C49" s="37"/>
      <c r="D49" s="7" t="s">
        <v>190</v>
      </c>
      <c r="E49" s="12" t="s">
        <v>90</v>
      </c>
      <c r="F49" s="12" t="s">
        <v>191</v>
      </c>
      <c r="G49" s="12"/>
      <c r="H49" s="14" t="s">
        <v>192</v>
      </c>
      <c r="I49" s="14" t="s">
        <v>193</v>
      </c>
      <c r="J49" s="14" t="s">
        <v>194</v>
      </c>
      <c r="K49" s="14" t="s">
        <v>195</v>
      </c>
      <c r="L49" s="15">
        <v>526</v>
      </c>
      <c r="M49" s="16">
        <f t="shared" si="11"/>
        <v>68.38</v>
      </c>
      <c r="N49" s="16">
        <f t="shared" ref="N49" si="12">L49+M49</f>
        <v>594.38</v>
      </c>
      <c r="O49" s="34"/>
    </row>
    <row r="50" spans="1:15" ht="36">
      <c r="A50" s="36">
        <v>35</v>
      </c>
      <c r="B50" s="7">
        <v>5</v>
      </c>
      <c r="C50" s="37"/>
      <c r="D50" s="7" t="s">
        <v>196</v>
      </c>
      <c r="E50" s="12" t="s">
        <v>84</v>
      </c>
      <c r="F50" s="12" t="s">
        <v>197</v>
      </c>
      <c r="G50" s="12"/>
      <c r="H50" s="14" t="s">
        <v>198</v>
      </c>
      <c r="I50" s="14" t="s">
        <v>199</v>
      </c>
      <c r="J50" s="14" t="s">
        <v>200</v>
      </c>
      <c r="K50" s="14" t="s">
        <v>201</v>
      </c>
      <c r="L50" s="45">
        <v>730</v>
      </c>
      <c r="M50" s="16">
        <f t="shared" si="11"/>
        <v>94.9</v>
      </c>
      <c r="N50" s="20">
        <f>L50+M50</f>
        <v>824.9</v>
      </c>
      <c r="O50" s="34"/>
    </row>
    <row r="51" spans="1:15" ht="54">
      <c r="A51" s="36">
        <v>36</v>
      </c>
      <c r="B51" s="7">
        <v>6</v>
      </c>
      <c r="C51" s="37"/>
      <c r="D51" s="7" t="s">
        <v>190</v>
      </c>
      <c r="E51" s="12" t="s">
        <v>90</v>
      </c>
      <c r="F51" s="12" t="s">
        <v>202</v>
      </c>
      <c r="G51" s="12"/>
      <c r="H51" s="14" t="s">
        <v>203</v>
      </c>
      <c r="I51" s="14" t="s">
        <v>204</v>
      </c>
      <c r="J51" s="14" t="s">
        <v>205</v>
      </c>
      <c r="K51" s="14" t="s">
        <v>206</v>
      </c>
      <c r="L51" s="45">
        <v>695</v>
      </c>
      <c r="M51" s="16">
        <f t="shared" si="11"/>
        <v>90.35</v>
      </c>
      <c r="N51" s="20">
        <f t="shared" ref="N51" si="13">L51+M51</f>
        <v>785.35</v>
      </c>
      <c r="O51" s="34"/>
    </row>
    <row r="52" spans="1:15" ht="18">
      <c r="A52" s="36">
        <v>37</v>
      </c>
      <c r="B52" s="34"/>
      <c r="C52" s="34"/>
      <c r="D52" s="34"/>
      <c r="E52" s="34"/>
      <c r="F52" s="34"/>
      <c r="G52" s="34"/>
      <c r="H52" s="34"/>
      <c r="I52" s="34"/>
      <c r="J52" s="34"/>
      <c r="K52" s="34"/>
      <c r="L52" s="39">
        <f>SUM(L46:L50)</f>
        <v>3175</v>
      </c>
      <c r="M52" s="20">
        <f t="shared" si="11"/>
        <v>412.75</v>
      </c>
      <c r="N52" s="40">
        <f>SUM(N46:N50)</f>
        <v>3587.75</v>
      </c>
      <c r="O52" s="93">
        <f>N52/750</f>
        <v>4.783666666666667</v>
      </c>
    </row>
    <row r="53" spans="1:15" ht="21">
      <c r="A53" s="36">
        <v>38</v>
      </c>
      <c r="B53" s="83"/>
      <c r="C53" s="79"/>
      <c r="D53" s="79"/>
      <c r="E53" s="79"/>
      <c r="F53" s="79"/>
      <c r="G53" s="79"/>
      <c r="H53" s="84" t="s">
        <v>64</v>
      </c>
      <c r="I53" s="79"/>
      <c r="J53" s="79"/>
      <c r="K53" s="79"/>
      <c r="L53" s="79"/>
      <c r="M53" s="79"/>
      <c r="N53" s="79"/>
      <c r="O53" s="85"/>
    </row>
    <row r="54" spans="1:15" ht="18">
      <c r="A54" s="36"/>
      <c r="B54" s="6"/>
      <c r="C54" s="37"/>
      <c r="D54" s="7"/>
      <c r="E54" s="12"/>
      <c r="F54" s="12"/>
      <c r="G54" s="12"/>
      <c r="H54" s="14"/>
      <c r="I54" s="14"/>
      <c r="J54" s="14"/>
      <c r="K54" s="14"/>
      <c r="L54" s="45"/>
      <c r="M54" s="20"/>
      <c r="N54" s="20"/>
      <c r="O54" s="46"/>
    </row>
    <row r="55" spans="1:15" ht="36">
      <c r="A55" s="36">
        <v>39</v>
      </c>
      <c r="B55" s="6">
        <v>1</v>
      </c>
      <c r="C55" s="37">
        <v>7</v>
      </c>
      <c r="D55" s="7" t="s">
        <v>196</v>
      </c>
      <c r="E55" s="12" t="s">
        <v>84</v>
      </c>
      <c r="F55" s="12" t="s">
        <v>207</v>
      </c>
      <c r="G55" s="12"/>
      <c r="H55" s="14" t="s">
        <v>208</v>
      </c>
      <c r="I55" s="14" t="s">
        <v>209</v>
      </c>
      <c r="J55" s="14" t="s">
        <v>210</v>
      </c>
      <c r="K55" s="14" t="s">
        <v>211</v>
      </c>
      <c r="L55" s="45">
        <v>629</v>
      </c>
      <c r="M55" s="20">
        <f>L55*13/100</f>
        <v>81.77</v>
      </c>
      <c r="N55" s="20">
        <f t="shared" ref="N55:N61" si="14">L55+M55</f>
        <v>710.77</v>
      </c>
      <c r="O55" s="46"/>
    </row>
    <row r="56" spans="1:15" ht="36">
      <c r="A56" s="36">
        <v>40</v>
      </c>
      <c r="B56" s="6">
        <v>2</v>
      </c>
      <c r="C56" s="37"/>
      <c r="D56" s="7" t="s">
        <v>196</v>
      </c>
      <c r="E56" s="12" t="s">
        <v>84</v>
      </c>
      <c r="F56" s="12" t="s">
        <v>212</v>
      </c>
      <c r="G56" s="12"/>
      <c r="H56" s="14" t="s">
        <v>213</v>
      </c>
      <c r="I56" s="14" t="s">
        <v>214</v>
      </c>
      <c r="J56" s="14" t="s">
        <v>215</v>
      </c>
      <c r="K56" s="14" t="s">
        <v>216</v>
      </c>
      <c r="L56" s="45">
        <v>721</v>
      </c>
      <c r="M56" s="20">
        <f t="shared" ref="M56:M62" si="15">L56*13/100</f>
        <v>93.73</v>
      </c>
      <c r="N56" s="20">
        <f t="shared" si="14"/>
        <v>814.73</v>
      </c>
      <c r="O56" s="46"/>
    </row>
    <row r="57" spans="1:15" ht="72">
      <c r="A57" s="36">
        <v>41</v>
      </c>
      <c r="B57" s="6">
        <v>3</v>
      </c>
      <c r="C57" s="37"/>
      <c r="D57" s="7" t="s">
        <v>217</v>
      </c>
      <c r="E57" s="12" t="s">
        <v>95</v>
      </c>
      <c r="F57" s="12" t="s">
        <v>218</v>
      </c>
      <c r="G57" s="12"/>
      <c r="H57" s="14" t="s">
        <v>219</v>
      </c>
      <c r="I57" s="14" t="s">
        <v>220</v>
      </c>
      <c r="J57" s="14" t="s">
        <v>221</v>
      </c>
      <c r="K57" s="14" t="s">
        <v>222</v>
      </c>
      <c r="L57" s="15">
        <v>687</v>
      </c>
      <c r="M57" s="20">
        <f t="shared" si="15"/>
        <v>89.31</v>
      </c>
      <c r="N57" s="16">
        <f t="shared" si="14"/>
        <v>776.31</v>
      </c>
      <c r="O57" s="46"/>
    </row>
    <row r="58" spans="1:15" ht="54">
      <c r="A58" s="36">
        <v>42</v>
      </c>
      <c r="B58" s="6">
        <v>4</v>
      </c>
      <c r="C58" s="37"/>
      <c r="D58" s="7" t="s">
        <v>217</v>
      </c>
      <c r="E58" s="12" t="s">
        <v>95</v>
      </c>
      <c r="F58" s="12" t="s">
        <v>223</v>
      </c>
      <c r="G58" s="12"/>
      <c r="H58" s="94" t="s">
        <v>224</v>
      </c>
      <c r="I58" s="94" t="s">
        <v>225</v>
      </c>
      <c r="J58" s="94" t="s">
        <v>226</v>
      </c>
      <c r="K58" s="94" t="s">
        <v>227</v>
      </c>
      <c r="L58" s="15">
        <v>730</v>
      </c>
      <c r="M58" s="20">
        <f t="shared" si="15"/>
        <v>94.9</v>
      </c>
      <c r="N58" s="16">
        <f t="shared" si="14"/>
        <v>824.9</v>
      </c>
      <c r="O58" s="46"/>
    </row>
    <row r="59" spans="1:15" ht="54">
      <c r="A59" s="36">
        <v>43</v>
      </c>
      <c r="B59" s="6">
        <v>5</v>
      </c>
      <c r="C59" s="37"/>
      <c r="D59" s="7" t="s">
        <v>170</v>
      </c>
      <c r="E59" s="68" t="s">
        <v>100</v>
      </c>
      <c r="F59" s="68" t="s">
        <v>228</v>
      </c>
      <c r="G59" s="68"/>
      <c r="H59" s="69" t="s">
        <v>229</v>
      </c>
      <c r="I59" s="69" t="s">
        <v>230</v>
      </c>
      <c r="J59" s="69" t="s">
        <v>231</v>
      </c>
      <c r="K59" s="69" t="s">
        <v>232</v>
      </c>
      <c r="L59" s="70">
        <v>455</v>
      </c>
      <c r="M59" s="95">
        <f t="shared" si="15"/>
        <v>59.15</v>
      </c>
      <c r="N59" s="71">
        <f t="shared" si="14"/>
        <v>514.15</v>
      </c>
      <c r="O59" s="46"/>
    </row>
    <row r="60" spans="1:15" ht="36">
      <c r="A60" s="36">
        <v>44</v>
      </c>
      <c r="B60" s="6">
        <v>6</v>
      </c>
      <c r="C60" s="37"/>
      <c r="D60" s="7" t="s">
        <v>170</v>
      </c>
      <c r="E60" s="12" t="s">
        <v>233</v>
      </c>
      <c r="F60" s="12" t="s">
        <v>234</v>
      </c>
      <c r="G60" s="12"/>
      <c r="H60" s="14" t="s">
        <v>235</v>
      </c>
      <c r="I60" s="14" t="s">
        <v>236</v>
      </c>
      <c r="J60" s="14" t="s">
        <v>237</v>
      </c>
      <c r="K60" s="14" t="s">
        <v>238</v>
      </c>
      <c r="L60" s="15">
        <v>534</v>
      </c>
      <c r="M60" s="20">
        <f t="shared" si="15"/>
        <v>69.42</v>
      </c>
      <c r="N60" s="16">
        <f t="shared" si="14"/>
        <v>603.41999999999996</v>
      </c>
      <c r="O60" s="46"/>
    </row>
    <row r="61" spans="1:15" ht="36">
      <c r="A61" s="36">
        <v>45</v>
      </c>
      <c r="B61" s="21">
        <v>0</v>
      </c>
      <c r="C61" s="38"/>
      <c r="D61" s="23" t="s">
        <v>239</v>
      </c>
      <c r="E61" s="24"/>
      <c r="F61" s="24" t="s">
        <v>240</v>
      </c>
      <c r="G61" s="24"/>
      <c r="H61" s="96" t="s">
        <v>241</v>
      </c>
      <c r="I61" s="96" t="s">
        <v>242</v>
      </c>
      <c r="J61" s="96" t="s">
        <v>243</v>
      </c>
      <c r="K61" s="96" t="s">
        <v>244</v>
      </c>
      <c r="L61" s="26">
        <v>239</v>
      </c>
      <c r="M61" s="27">
        <f t="shared" si="15"/>
        <v>31.07</v>
      </c>
      <c r="N61" s="28">
        <f t="shared" si="14"/>
        <v>270.07</v>
      </c>
      <c r="O61" s="46"/>
    </row>
    <row r="62" spans="1:15" ht="18.75" thickBot="1">
      <c r="B62" s="55"/>
      <c r="C62" s="56"/>
      <c r="D62" s="56"/>
      <c r="E62" s="56"/>
      <c r="F62" s="56"/>
      <c r="G62" s="56"/>
      <c r="H62" s="56"/>
      <c r="I62" s="56"/>
      <c r="J62" s="56"/>
      <c r="K62" s="56"/>
      <c r="L62" s="57">
        <f>SUM(L55:L61)</f>
        <v>3995</v>
      </c>
      <c r="M62" s="20">
        <f t="shared" si="15"/>
        <v>519.35</v>
      </c>
      <c r="N62" s="58">
        <f>SUM(N55:N61)</f>
        <v>4514.3499999999995</v>
      </c>
      <c r="O62" s="77">
        <f>N62/750</f>
        <v>6.0191333333333326</v>
      </c>
    </row>
    <row r="63" spans="1:15" ht="15.75" thickBot="1"/>
    <row r="64" spans="1:15" ht="21">
      <c r="B64" s="41"/>
      <c r="C64" s="42"/>
      <c r="D64" s="42"/>
      <c r="E64" s="42"/>
      <c r="F64" s="42"/>
      <c r="G64" s="42"/>
      <c r="H64" s="43" t="s">
        <v>159</v>
      </c>
      <c r="I64" s="42"/>
      <c r="J64" s="42"/>
      <c r="K64" s="42"/>
      <c r="L64" s="42"/>
      <c r="M64" s="42"/>
      <c r="N64" s="42"/>
      <c r="O64" s="44"/>
    </row>
    <row r="65" spans="1:15" ht="36">
      <c r="A65" s="10">
        <v>46</v>
      </c>
      <c r="B65" s="21">
        <v>1</v>
      </c>
      <c r="C65" s="38">
        <v>8</v>
      </c>
      <c r="D65" s="23" t="s">
        <v>239</v>
      </c>
      <c r="E65" s="97" t="s">
        <v>106</v>
      </c>
      <c r="F65" s="97" t="s">
        <v>245</v>
      </c>
      <c r="G65" s="97"/>
      <c r="H65" s="63" t="s">
        <v>246</v>
      </c>
      <c r="I65" s="63" t="s">
        <v>247</v>
      </c>
      <c r="J65" s="63" t="s">
        <v>248</v>
      </c>
      <c r="K65" s="63" t="s">
        <v>249</v>
      </c>
      <c r="L65" s="64">
        <v>451</v>
      </c>
      <c r="M65" s="98">
        <f>L65*13/100</f>
        <v>58.63</v>
      </c>
      <c r="N65" s="98">
        <f t="shared" ref="N65:N72" si="16">L65+M65</f>
        <v>509.63</v>
      </c>
      <c r="O65" s="99"/>
    </row>
    <row r="66" spans="1:15" ht="36">
      <c r="A66" s="10">
        <v>47</v>
      </c>
      <c r="B66" s="6">
        <v>2</v>
      </c>
      <c r="C66" s="100"/>
      <c r="D66" s="7" t="s">
        <v>239</v>
      </c>
      <c r="E66" s="12" t="s">
        <v>106</v>
      </c>
      <c r="F66" s="12" t="s">
        <v>250</v>
      </c>
      <c r="G66" s="12"/>
      <c r="H66" s="14" t="s">
        <v>251</v>
      </c>
      <c r="I66" s="14" t="s">
        <v>252</v>
      </c>
      <c r="J66" s="14" t="s">
        <v>253</v>
      </c>
      <c r="K66" s="14" t="s">
        <v>254</v>
      </c>
      <c r="L66" s="15">
        <v>727</v>
      </c>
      <c r="M66" s="98">
        <f t="shared" ref="M66:M72" si="17">L66*13/100</f>
        <v>94.51</v>
      </c>
      <c r="N66" s="16">
        <f t="shared" si="16"/>
        <v>821.51</v>
      </c>
      <c r="O66" s="46"/>
    </row>
    <row r="67" spans="1:15" ht="168.75" customHeight="1">
      <c r="A67" s="10">
        <v>48</v>
      </c>
      <c r="B67" s="6">
        <v>3</v>
      </c>
      <c r="C67" s="37"/>
      <c r="D67" s="7" t="s">
        <v>126</v>
      </c>
      <c r="E67" s="12" t="s">
        <v>111</v>
      </c>
      <c r="F67" s="12" t="s">
        <v>255</v>
      </c>
      <c r="G67" s="12"/>
      <c r="H67" s="14" t="s">
        <v>256</v>
      </c>
      <c r="I67" s="14" t="s">
        <v>257</v>
      </c>
      <c r="J67" s="14" t="s">
        <v>258</v>
      </c>
      <c r="K67" s="14" t="s">
        <v>259</v>
      </c>
      <c r="L67" s="15">
        <v>800</v>
      </c>
      <c r="M67" s="98">
        <f t="shared" si="17"/>
        <v>104</v>
      </c>
      <c r="N67" s="20">
        <f t="shared" si="16"/>
        <v>904</v>
      </c>
      <c r="O67" s="46"/>
    </row>
    <row r="68" spans="1:15" ht="108">
      <c r="A68" s="10">
        <v>49</v>
      </c>
      <c r="B68" s="101">
        <v>4</v>
      </c>
      <c r="C68" s="7"/>
      <c r="D68" s="12"/>
      <c r="E68" s="12"/>
      <c r="F68" s="12" t="s">
        <v>260</v>
      </c>
      <c r="G68" s="12"/>
      <c r="H68" s="14" t="s">
        <v>261</v>
      </c>
      <c r="I68" s="13" t="s">
        <v>262</v>
      </c>
      <c r="J68" s="14" t="s">
        <v>263</v>
      </c>
      <c r="K68" s="14" t="s">
        <v>264</v>
      </c>
      <c r="L68" s="15">
        <v>758</v>
      </c>
      <c r="M68" s="98">
        <f t="shared" si="17"/>
        <v>98.54</v>
      </c>
      <c r="N68" s="20">
        <f t="shared" si="16"/>
        <v>856.54</v>
      </c>
      <c r="O68" s="46"/>
    </row>
    <row r="69" spans="1:15" ht="97.5" customHeight="1">
      <c r="A69" s="10">
        <v>50</v>
      </c>
      <c r="B69" s="6">
        <v>5</v>
      </c>
      <c r="C69" s="37"/>
      <c r="D69" s="7" t="s">
        <v>265</v>
      </c>
      <c r="E69" s="12" t="s">
        <v>116</v>
      </c>
      <c r="F69" s="12" t="s">
        <v>266</v>
      </c>
      <c r="G69" s="12"/>
      <c r="H69" s="14" t="s">
        <v>267</v>
      </c>
      <c r="I69" s="14" t="s">
        <v>268</v>
      </c>
      <c r="J69" s="14" t="s">
        <v>269</v>
      </c>
      <c r="K69" s="14" t="s">
        <v>270</v>
      </c>
      <c r="L69" s="15">
        <v>488</v>
      </c>
      <c r="M69" s="98">
        <f t="shared" si="17"/>
        <v>63.44</v>
      </c>
      <c r="N69" s="16">
        <f t="shared" si="16"/>
        <v>551.44000000000005</v>
      </c>
      <c r="O69" s="46"/>
    </row>
    <row r="70" spans="1:15" ht="72">
      <c r="A70" s="10">
        <v>51</v>
      </c>
      <c r="B70" s="6">
        <v>6</v>
      </c>
      <c r="C70" s="37">
        <v>9</v>
      </c>
      <c r="D70" s="7" t="s">
        <v>126</v>
      </c>
      <c r="E70" s="12" t="s">
        <v>111</v>
      </c>
      <c r="F70" s="12" t="s">
        <v>271</v>
      </c>
      <c r="G70" s="12"/>
      <c r="H70" s="14" t="s">
        <v>272</v>
      </c>
      <c r="I70" s="14" t="s">
        <v>273</v>
      </c>
      <c r="J70" s="14" t="s">
        <v>274</v>
      </c>
      <c r="K70" s="14" t="s">
        <v>275</v>
      </c>
      <c r="L70" s="15">
        <v>751</v>
      </c>
      <c r="M70" s="98">
        <f t="shared" si="17"/>
        <v>97.63</v>
      </c>
      <c r="N70" s="20">
        <f t="shared" si="16"/>
        <v>848.63</v>
      </c>
      <c r="O70" s="46"/>
    </row>
    <row r="71" spans="1:15" ht="36">
      <c r="A71" s="10">
        <v>52</v>
      </c>
      <c r="B71" s="6">
        <v>8</v>
      </c>
      <c r="C71" s="37"/>
      <c r="D71" s="7" t="s">
        <v>276</v>
      </c>
      <c r="E71" s="12" t="s">
        <v>277</v>
      </c>
      <c r="F71" s="12" t="s">
        <v>278</v>
      </c>
      <c r="G71" s="12"/>
      <c r="H71" s="14" t="s">
        <v>279</v>
      </c>
      <c r="I71" s="14" t="s">
        <v>280</v>
      </c>
      <c r="J71" s="14" t="s">
        <v>281</v>
      </c>
      <c r="K71" s="14" t="s">
        <v>282</v>
      </c>
      <c r="L71" s="15">
        <v>477</v>
      </c>
      <c r="M71" s="98">
        <f t="shared" si="17"/>
        <v>62.01</v>
      </c>
      <c r="N71" s="16">
        <f t="shared" si="16"/>
        <v>539.01</v>
      </c>
      <c r="O71" s="46"/>
    </row>
    <row r="72" spans="1:15" ht="144.75" thickBot="1">
      <c r="A72" s="10">
        <v>53</v>
      </c>
      <c r="B72" s="7">
        <v>40</v>
      </c>
      <c r="C72" s="86">
        <v>47</v>
      </c>
      <c r="D72" s="7" t="s">
        <v>126</v>
      </c>
      <c r="E72" s="12" t="s">
        <v>111</v>
      </c>
      <c r="F72" s="12" t="s">
        <v>255</v>
      </c>
      <c r="G72" s="12"/>
      <c r="H72" s="14" t="s">
        <v>256</v>
      </c>
      <c r="I72" s="14" t="s">
        <v>257</v>
      </c>
      <c r="J72" s="14" t="s">
        <v>258</v>
      </c>
      <c r="K72" s="14" t="s">
        <v>259</v>
      </c>
      <c r="L72" s="15">
        <v>800</v>
      </c>
      <c r="M72" s="98">
        <f t="shared" si="17"/>
        <v>104</v>
      </c>
      <c r="N72" s="20">
        <f t="shared" si="16"/>
        <v>904</v>
      </c>
      <c r="O72" s="77"/>
    </row>
    <row r="73" spans="1:15" ht="18">
      <c r="B73" s="30"/>
      <c r="C73" s="30"/>
      <c r="D73" s="30"/>
      <c r="E73" s="30"/>
      <c r="F73" s="30"/>
      <c r="G73" s="30"/>
      <c r="H73" s="30"/>
      <c r="I73" s="30"/>
      <c r="J73" s="30"/>
      <c r="K73" s="30"/>
      <c r="L73" s="32">
        <f>SUM(L65:L72)</f>
        <v>5252</v>
      </c>
      <c r="M73" s="102">
        <f>SUM(M65:M72)</f>
        <v>682.76</v>
      </c>
      <c r="N73" s="32">
        <f>SUM(N65:N72)</f>
        <v>5934.76</v>
      </c>
      <c r="O73" s="103">
        <f>N73/750</f>
        <v>7.9130133333333337</v>
      </c>
    </row>
    <row r="74" spans="1:15" ht="15.75" thickBot="1">
      <c r="B74" s="30"/>
      <c r="C74" s="30"/>
      <c r="D74" s="30"/>
      <c r="E74" s="30"/>
      <c r="F74" s="30"/>
      <c r="G74" s="30"/>
      <c r="H74" s="30"/>
      <c r="I74" s="30"/>
      <c r="J74" s="30"/>
      <c r="K74" s="30"/>
      <c r="L74" s="32"/>
      <c r="M74" s="32"/>
      <c r="N74" s="32"/>
      <c r="O74" s="103"/>
    </row>
    <row r="75" spans="1:15" ht="21">
      <c r="B75" s="41"/>
      <c r="C75" s="42"/>
      <c r="D75" s="42"/>
      <c r="E75" s="42"/>
      <c r="F75" s="42"/>
      <c r="G75" s="42"/>
      <c r="H75" s="43" t="s">
        <v>283</v>
      </c>
      <c r="I75" s="42"/>
      <c r="J75" s="42"/>
      <c r="K75" s="42"/>
      <c r="L75" s="42"/>
      <c r="M75" s="42"/>
      <c r="N75" s="42"/>
      <c r="O75" s="44"/>
    </row>
    <row r="76" spans="1:15" ht="36">
      <c r="A76" s="10">
        <v>54</v>
      </c>
      <c r="B76" s="6">
        <v>1</v>
      </c>
      <c r="C76" s="37"/>
      <c r="D76" s="7" t="s">
        <v>276</v>
      </c>
      <c r="E76" s="12" t="s">
        <v>121</v>
      </c>
      <c r="F76" s="12" t="s">
        <v>284</v>
      </c>
      <c r="G76" s="12"/>
      <c r="H76" s="14" t="s">
        <v>285</v>
      </c>
      <c r="I76" s="14" t="s">
        <v>286</v>
      </c>
      <c r="J76" s="14" t="s">
        <v>287</v>
      </c>
      <c r="K76" s="14" t="s">
        <v>288</v>
      </c>
      <c r="L76" s="15">
        <v>794</v>
      </c>
      <c r="M76" s="16">
        <f>L76*13/100</f>
        <v>103.22</v>
      </c>
      <c r="N76" s="20">
        <f t="shared" ref="N76:N79" si="18">L76+M76</f>
        <v>897.22</v>
      </c>
      <c r="O76" s="46"/>
    </row>
    <row r="77" spans="1:15" ht="72">
      <c r="A77" s="10">
        <v>55</v>
      </c>
      <c r="B77" s="6">
        <v>2</v>
      </c>
      <c r="C77" s="37"/>
      <c r="D77" s="7" t="s">
        <v>276</v>
      </c>
      <c r="E77" s="12" t="s">
        <v>121</v>
      </c>
      <c r="F77" s="12" t="s">
        <v>289</v>
      </c>
      <c r="G77" s="12"/>
      <c r="H77" s="14" t="s">
        <v>290</v>
      </c>
      <c r="I77" s="14" t="s">
        <v>291</v>
      </c>
      <c r="J77" s="14" t="s">
        <v>292</v>
      </c>
      <c r="K77" s="14" t="s">
        <v>293</v>
      </c>
      <c r="L77" s="15">
        <v>649</v>
      </c>
      <c r="M77" s="16">
        <f t="shared" ref="M77:M80" si="19">L77*13/100</f>
        <v>84.37</v>
      </c>
      <c r="N77" s="16">
        <f t="shared" si="18"/>
        <v>733.37</v>
      </c>
      <c r="O77" s="46"/>
    </row>
    <row r="78" spans="1:15" ht="54">
      <c r="A78" s="10">
        <v>56</v>
      </c>
      <c r="B78" s="6">
        <v>3</v>
      </c>
      <c r="C78" s="37">
        <v>9</v>
      </c>
      <c r="D78" s="7" t="s">
        <v>294</v>
      </c>
      <c r="E78" s="12" t="s">
        <v>295</v>
      </c>
      <c r="F78" s="12" t="s">
        <v>296</v>
      </c>
      <c r="G78" s="12"/>
      <c r="H78" s="14" t="s">
        <v>297</v>
      </c>
      <c r="I78" s="14" t="s">
        <v>298</v>
      </c>
      <c r="J78" s="14" t="s">
        <v>299</v>
      </c>
      <c r="K78" s="14" t="s">
        <v>300</v>
      </c>
      <c r="L78" s="15">
        <v>704</v>
      </c>
      <c r="M78" s="16">
        <f t="shared" si="19"/>
        <v>91.52</v>
      </c>
      <c r="N78" s="16">
        <f t="shared" si="18"/>
        <v>795.52</v>
      </c>
      <c r="O78" s="46"/>
    </row>
    <row r="79" spans="1:15" ht="108">
      <c r="A79" s="10">
        <v>57</v>
      </c>
      <c r="B79" s="6">
        <v>4</v>
      </c>
      <c r="C79" s="37"/>
      <c r="D79" s="7" t="s">
        <v>294</v>
      </c>
      <c r="E79" s="12" t="s">
        <v>295</v>
      </c>
      <c r="F79" s="12" t="s">
        <v>301</v>
      </c>
      <c r="G79" s="12"/>
      <c r="H79" s="14" t="s">
        <v>302</v>
      </c>
      <c r="I79" s="14" t="s">
        <v>303</v>
      </c>
      <c r="J79" s="14" t="s">
        <v>304</v>
      </c>
      <c r="K79" s="14" t="s">
        <v>305</v>
      </c>
      <c r="L79" s="15">
        <v>600</v>
      </c>
      <c r="M79" s="16">
        <f t="shared" si="19"/>
        <v>78</v>
      </c>
      <c r="N79" s="16">
        <f t="shared" si="18"/>
        <v>678</v>
      </c>
      <c r="O79" s="46"/>
    </row>
    <row r="80" spans="1:15" ht="18.75" thickBot="1">
      <c r="B80" s="55"/>
      <c r="C80" s="56"/>
      <c r="D80" s="56"/>
      <c r="E80" s="56"/>
      <c r="F80" s="56"/>
      <c r="G80" s="56"/>
      <c r="H80" s="56"/>
      <c r="I80" s="56"/>
      <c r="J80" s="56"/>
      <c r="K80" s="56"/>
      <c r="L80" s="57">
        <f>SUM(L76:L79)</f>
        <v>2747</v>
      </c>
      <c r="M80" s="20">
        <f t="shared" si="19"/>
        <v>357.11</v>
      </c>
      <c r="N80" s="58">
        <f>SUM(N76:N79)</f>
        <v>3104.11</v>
      </c>
      <c r="O80" s="77">
        <f>N80/750</f>
        <v>4.1388133333333332</v>
      </c>
    </row>
    <row r="82" spans="1:15" ht="21">
      <c r="B82" s="12"/>
      <c r="C82" s="14"/>
      <c r="D82" s="14"/>
      <c r="E82" s="14"/>
      <c r="F82" s="14"/>
      <c r="G82" s="15"/>
      <c r="H82" s="35" t="s">
        <v>31</v>
      </c>
      <c r="I82" s="16"/>
      <c r="J82" s="34"/>
      <c r="K82" s="34"/>
      <c r="L82" s="34"/>
      <c r="M82" s="34"/>
      <c r="N82" s="34"/>
      <c r="O82" s="34"/>
    </row>
    <row r="83" spans="1:15" ht="36">
      <c r="A83" s="10">
        <v>58</v>
      </c>
      <c r="B83" s="7">
        <v>1</v>
      </c>
      <c r="C83" s="37">
        <v>10</v>
      </c>
      <c r="D83" s="7" t="s">
        <v>294</v>
      </c>
      <c r="E83" s="12" t="s">
        <v>295</v>
      </c>
      <c r="F83" s="12" t="s">
        <v>306</v>
      </c>
      <c r="G83" s="12"/>
      <c r="H83" s="14" t="s">
        <v>307</v>
      </c>
      <c r="I83" s="14" t="s">
        <v>308</v>
      </c>
      <c r="J83" s="14" t="s">
        <v>309</v>
      </c>
      <c r="K83" s="14" t="s">
        <v>310</v>
      </c>
      <c r="L83" s="15">
        <v>551</v>
      </c>
      <c r="M83" s="16">
        <f>L83*13/100</f>
        <v>71.63</v>
      </c>
      <c r="N83" s="16">
        <f t="shared" ref="N83:N91" si="20">L83+M83</f>
        <v>622.63</v>
      </c>
      <c r="O83" s="34"/>
    </row>
    <row r="84" spans="1:15" ht="54">
      <c r="A84" s="10">
        <v>59</v>
      </c>
      <c r="B84" s="7">
        <v>2</v>
      </c>
      <c r="C84" s="37"/>
      <c r="D84" s="7" t="s">
        <v>294</v>
      </c>
      <c r="E84" s="12" t="s">
        <v>295</v>
      </c>
      <c r="F84" s="12" t="s">
        <v>311</v>
      </c>
      <c r="G84" s="12"/>
      <c r="H84" s="14" t="s">
        <v>312</v>
      </c>
      <c r="I84" s="14" t="s">
        <v>313</v>
      </c>
      <c r="J84" s="14" t="s">
        <v>314</v>
      </c>
      <c r="K84" s="14" t="s">
        <v>315</v>
      </c>
      <c r="L84" s="15">
        <v>372</v>
      </c>
      <c r="M84" s="16">
        <f t="shared" ref="M84:M93" si="21">L84*13/100</f>
        <v>48.36</v>
      </c>
      <c r="N84" s="16">
        <f t="shared" si="20"/>
        <v>420.36</v>
      </c>
      <c r="O84" s="34"/>
    </row>
    <row r="85" spans="1:15" ht="102" customHeight="1">
      <c r="A85" s="10">
        <v>60</v>
      </c>
      <c r="B85" s="7">
        <v>3</v>
      </c>
      <c r="C85" s="37"/>
      <c r="D85" s="7" t="s">
        <v>316</v>
      </c>
      <c r="E85" s="12" t="s">
        <v>133</v>
      </c>
      <c r="F85" s="12" t="s">
        <v>317</v>
      </c>
      <c r="G85" s="12"/>
      <c r="H85" s="14" t="s">
        <v>318</v>
      </c>
      <c r="I85" s="14" t="s">
        <v>319</v>
      </c>
      <c r="J85" s="14" t="s">
        <v>320</v>
      </c>
      <c r="K85" s="14" t="s">
        <v>321</v>
      </c>
      <c r="L85" s="15">
        <v>668</v>
      </c>
      <c r="M85" s="16">
        <f t="shared" si="21"/>
        <v>86.84</v>
      </c>
      <c r="N85" s="16">
        <f t="shared" si="20"/>
        <v>754.84</v>
      </c>
      <c r="O85" s="34"/>
    </row>
    <row r="86" spans="1:15" ht="54">
      <c r="A86" s="10">
        <v>61</v>
      </c>
      <c r="B86" s="7">
        <v>4</v>
      </c>
      <c r="C86" s="37"/>
      <c r="D86" s="7" t="s">
        <v>322</v>
      </c>
      <c r="E86" s="12" t="s">
        <v>138</v>
      </c>
      <c r="F86" s="12" t="s">
        <v>323</v>
      </c>
      <c r="G86" s="12"/>
      <c r="H86" s="14" t="s">
        <v>324</v>
      </c>
      <c r="I86" s="14" t="s">
        <v>325</v>
      </c>
      <c r="J86" s="14" t="s">
        <v>326</v>
      </c>
      <c r="K86" s="14" t="s">
        <v>327</v>
      </c>
      <c r="L86" s="15">
        <v>523</v>
      </c>
      <c r="M86" s="16">
        <f t="shared" si="21"/>
        <v>67.989999999999995</v>
      </c>
      <c r="N86" s="16">
        <f t="shared" si="20"/>
        <v>590.99</v>
      </c>
      <c r="O86" s="34"/>
    </row>
    <row r="87" spans="1:15" ht="108">
      <c r="A87" s="10">
        <v>62</v>
      </c>
      <c r="B87" s="7">
        <v>5</v>
      </c>
      <c r="C87" s="37"/>
      <c r="D87" s="7" t="s">
        <v>322</v>
      </c>
      <c r="E87" s="12" t="s">
        <v>138</v>
      </c>
      <c r="F87" s="12" t="s">
        <v>328</v>
      </c>
      <c r="G87" s="12"/>
      <c r="H87" s="14" t="s">
        <v>329</v>
      </c>
      <c r="I87" s="14" t="s">
        <v>330</v>
      </c>
      <c r="J87" s="14" t="s">
        <v>331</v>
      </c>
      <c r="K87" s="14" t="s">
        <v>332</v>
      </c>
      <c r="L87" s="15">
        <v>750</v>
      </c>
      <c r="M87" s="16">
        <f t="shared" si="21"/>
        <v>97.5</v>
      </c>
      <c r="N87" s="16">
        <f t="shared" si="20"/>
        <v>847.5</v>
      </c>
      <c r="O87" s="34"/>
    </row>
    <row r="88" spans="1:15" ht="54">
      <c r="A88" s="10">
        <v>63</v>
      </c>
      <c r="B88" s="7">
        <v>6</v>
      </c>
      <c r="C88" s="37"/>
      <c r="D88" s="7" t="s">
        <v>333</v>
      </c>
      <c r="E88" s="12" t="s">
        <v>144</v>
      </c>
      <c r="F88" s="12" t="s">
        <v>334</v>
      </c>
      <c r="G88" s="12"/>
      <c r="H88" s="14" t="s">
        <v>335</v>
      </c>
      <c r="I88" s="14" t="s">
        <v>336</v>
      </c>
      <c r="J88" s="14" t="s">
        <v>337</v>
      </c>
      <c r="K88" s="14" t="s">
        <v>338</v>
      </c>
      <c r="L88" s="15">
        <v>698</v>
      </c>
      <c r="M88" s="16">
        <f t="shared" si="21"/>
        <v>90.74</v>
      </c>
      <c r="N88" s="16">
        <f t="shared" si="20"/>
        <v>788.74</v>
      </c>
      <c r="O88" s="34"/>
    </row>
    <row r="89" spans="1:15" ht="54">
      <c r="A89" s="10">
        <v>64</v>
      </c>
      <c r="B89" s="7">
        <v>7</v>
      </c>
      <c r="C89" s="37"/>
      <c r="D89" s="7" t="s">
        <v>333</v>
      </c>
      <c r="E89" s="12" t="s">
        <v>144</v>
      </c>
      <c r="F89" s="12" t="s">
        <v>339</v>
      </c>
      <c r="G89" s="12"/>
      <c r="H89" s="14" t="s">
        <v>340</v>
      </c>
      <c r="I89" s="14" t="s">
        <v>341</v>
      </c>
      <c r="J89" s="14" t="s">
        <v>342</v>
      </c>
      <c r="K89" s="14" t="s">
        <v>343</v>
      </c>
      <c r="L89" s="15">
        <v>792</v>
      </c>
      <c r="M89" s="16">
        <f t="shared" si="21"/>
        <v>102.96</v>
      </c>
      <c r="N89" s="20">
        <f t="shared" si="20"/>
        <v>894.96</v>
      </c>
      <c r="O89" s="34"/>
    </row>
    <row r="90" spans="1:15" ht="54">
      <c r="A90" s="10">
        <v>65</v>
      </c>
      <c r="B90" s="7">
        <v>8</v>
      </c>
      <c r="C90" s="37"/>
      <c r="D90" s="7" t="s">
        <v>333</v>
      </c>
      <c r="E90" s="12" t="s">
        <v>144</v>
      </c>
      <c r="F90" s="12" t="s">
        <v>344</v>
      </c>
      <c r="G90" s="12"/>
      <c r="H90" s="14" t="s">
        <v>345</v>
      </c>
      <c r="I90" s="14" t="s">
        <v>346</v>
      </c>
      <c r="J90" s="14" t="s">
        <v>347</v>
      </c>
      <c r="K90" s="14" t="s">
        <v>348</v>
      </c>
      <c r="L90" s="15">
        <v>486</v>
      </c>
      <c r="M90" s="16">
        <f t="shared" si="21"/>
        <v>63.18</v>
      </c>
      <c r="N90" s="16">
        <f t="shared" si="20"/>
        <v>549.17999999999995</v>
      </c>
      <c r="O90" s="34"/>
    </row>
    <row r="91" spans="1:15" ht="164.25" customHeight="1">
      <c r="A91" s="10">
        <v>66</v>
      </c>
      <c r="B91" s="7">
        <v>9</v>
      </c>
      <c r="C91" s="37"/>
      <c r="D91" s="7" t="s">
        <v>349</v>
      </c>
      <c r="E91" s="12" t="s">
        <v>149</v>
      </c>
      <c r="F91" s="12" t="s">
        <v>350</v>
      </c>
      <c r="G91" s="12"/>
      <c r="H91" s="14" t="s">
        <v>351</v>
      </c>
      <c r="I91" s="13" t="s">
        <v>352</v>
      </c>
      <c r="J91" s="14" t="s">
        <v>353</v>
      </c>
      <c r="K91" s="14" t="s">
        <v>354</v>
      </c>
      <c r="L91" s="15">
        <v>710</v>
      </c>
      <c r="M91" s="16">
        <f t="shared" si="21"/>
        <v>92.3</v>
      </c>
      <c r="N91" s="16">
        <f t="shared" si="20"/>
        <v>802.3</v>
      </c>
      <c r="O91" s="34"/>
    </row>
    <row r="92" spans="1:15" ht="18">
      <c r="B92" s="34"/>
      <c r="C92" s="34"/>
      <c r="D92" s="34"/>
      <c r="E92" s="34"/>
      <c r="F92" s="34"/>
      <c r="G92" s="34"/>
      <c r="H92" s="34"/>
      <c r="I92" s="34"/>
      <c r="J92" s="34"/>
      <c r="K92" s="34"/>
      <c r="L92" s="104">
        <f>SUM(L83:L91)</f>
        <v>5550</v>
      </c>
      <c r="M92" s="20">
        <f t="shared" si="21"/>
        <v>721.5</v>
      </c>
      <c r="N92" s="105">
        <f>SUM(N83:N91)</f>
        <v>6271.5</v>
      </c>
      <c r="O92" s="34">
        <f>N92/750</f>
        <v>8.3620000000000001</v>
      </c>
    </row>
    <row r="93" spans="1:15" ht="18.75" thickBot="1">
      <c r="B93" s="30"/>
      <c r="C93" s="30"/>
      <c r="D93" s="30"/>
      <c r="E93" s="30"/>
      <c r="F93" s="30"/>
      <c r="G93" s="30"/>
      <c r="H93" s="30"/>
      <c r="I93" s="30"/>
      <c r="J93" s="30"/>
      <c r="K93" s="30"/>
      <c r="L93" s="106"/>
      <c r="M93" s="16">
        <f t="shared" si="21"/>
        <v>0</v>
      </c>
      <c r="N93" s="107"/>
      <c r="O93" s="30"/>
    </row>
    <row r="94" spans="1:15" ht="21">
      <c r="B94" s="41"/>
      <c r="C94" s="42"/>
      <c r="D94" s="42"/>
      <c r="E94" s="42"/>
      <c r="F94" s="42"/>
      <c r="G94" s="42"/>
      <c r="H94" s="43" t="s">
        <v>196</v>
      </c>
      <c r="I94" s="42"/>
      <c r="J94" s="42"/>
      <c r="K94" s="42"/>
      <c r="L94" s="42"/>
      <c r="M94" s="42"/>
      <c r="N94" s="42"/>
      <c r="O94" s="44"/>
    </row>
    <row r="95" spans="1:15" ht="54">
      <c r="A95" s="10">
        <v>67</v>
      </c>
      <c r="B95" s="6">
        <v>1</v>
      </c>
      <c r="C95" s="37">
        <v>11</v>
      </c>
      <c r="D95" s="7" t="s">
        <v>316</v>
      </c>
      <c r="E95" s="12" t="s">
        <v>133</v>
      </c>
      <c r="F95" s="12" t="s">
        <v>355</v>
      </c>
      <c r="G95" s="12"/>
      <c r="H95" s="14" t="s">
        <v>356</v>
      </c>
      <c r="I95" s="14" t="s">
        <v>357</v>
      </c>
      <c r="J95" s="14" t="s">
        <v>358</v>
      </c>
      <c r="K95" s="14" t="s">
        <v>359</v>
      </c>
      <c r="L95" s="15">
        <v>578</v>
      </c>
      <c r="M95" s="16">
        <f>L95*13/100</f>
        <v>75.14</v>
      </c>
      <c r="N95" s="16">
        <f t="shared" ref="N95:N102" si="22">L95+M95</f>
        <v>653.14</v>
      </c>
      <c r="O95" s="46"/>
    </row>
    <row r="96" spans="1:15" ht="72">
      <c r="A96" s="10">
        <v>68</v>
      </c>
      <c r="B96" s="6">
        <v>2</v>
      </c>
      <c r="C96" s="37">
        <v>11</v>
      </c>
      <c r="D96" s="7" t="s">
        <v>316</v>
      </c>
      <c r="E96" s="12" t="s">
        <v>133</v>
      </c>
      <c r="F96" s="12" t="s">
        <v>360</v>
      </c>
      <c r="G96" s="12"/>
      <c r="H96" s="14" t="s">
        <v>361</v>
      </c>
      <c r="I96" s="14" t="s">
        <v>362</v>
      </c>
      <c r="J96" s="14" t="s">
        <v>363</v>
      </c>
      <c r="K96" s="14" t="s">
        <v>364</v>
      </c>
      <c r="L96" s="15">
        <v>598</v>
      </c>
      <c r="M96" s="16">
        <f t="shared" ref="M96:M103" si="23">L96*13/100</f>
        <v>77.739999999999995</v>
      </c>
      <c r="N96" s="16">
        <f t="shared" si="22"/>
        <v>675.74</v>
      </c>
      <c r="O96" s="46"/>
    </row>
    <row r="97" spans="1:15" ht="72">
      <c r="A97" s="10">
        <v>69</v>
      </c>
      <c r="B97" s="6">
        <v>3</v>
      </c>
      <c r="C97" s="37"/>
      <c r="D97" s="7" t="s">
        <v>316</v>
      </c>
      <c r="E97" s="12" t="s">
        <v>133</v>
      </c>
      <c r="F97" s="12" t="s">
        <v>365</v>
      </c>
      <c r="G97" s="12"/>
      <c r="H97" s="14" t="s">
        <v>366</v>
      </c>
      <c r="I97" s="14" t="s">
        <v>367</v>
      </c>
      <c r="J97" s="14" t="s">
        <v>368</v>
      </c>
      <c r="K97" s="14" t="s">
        <v>369</v>
      </c>
      <c r="L97" s="15">
        <v>650</v>
      </c>
      <c r="M97" s="16">
        <f t="shared" si="23"/>
        <v>84.5</v>
      </c>
      <c r="N97" s="16">
        <f t="shared" si="22"/>
        <v>734.5</v>
      </c>
      <c r="O97" s="46"/>
    </row>
    <row r="98" spans="1:15" ht="54">
      <c r="A98" s="10">
        <v>70</v>
      </c>
      <c r="B98" s="6">
        <v>4</v>
      </c>
      <c r="C98" s="37"/>
      <c r="D98" s="7" t="s">
        <v>316</v>
      </c>
      <c r="E98" s="12" t="s">
        <v>133</v>
      </c>
      <c r="F98" s="12" t="s">
        <v>370</v>
      </c>
      <c r="G98" s="12"/>
      <c r="H98" s="14" t="s">
        <v>371</v>
      </c>
      <c r="I98" s="14" t="s">
        <v>372</v>
      </c>
      <c r="J98" s="14" t="s">
        <v>373</v>
      </c>
      <c r="K98" s="14" t="s">
        <v>374</v>
      </c>
      <c r="L98" s="15">
        <v>787</v>
      </c>
      <c r="M98" s="16">
        <f t="shared" si="23"/>
        <v>102.31</v>
      </c>
      <c r="N98" s="16">
        <f t="shared" si="22"/>
        <v>889.31</v>
      </c>
      <c r="O98" s="46"/>
    </row>
    <row r="99" spans="1:15" ht="108">
      <c r="A99" s="10">
        <v>71</v>
      </c>
      <c r="B99" s="6">
        <v>5</v>
      </c>
      <c r="C99" s="37"/>
      <c r="D99" s="7" t="s">
        <v>322</v>
      </c>
      <c r="E99" s="12" t="s">
        <v>138</v>
      </c>
      <c r="F99" s="12" t="s">
        <v>375</v>
      </c>
      <c r="G99" s="12"/>
      <c r="H99" s="14" t="s">
        <v>376</v>
      </c>
      <c r="I99" s="14" t="s">
        <v>377</v>
      </c>
      <c r="J99" s="14" t="s">
        <v>378</v>
      </c>
      <c r="K99" s="14" t="s">
        <v>379</v>
      </c>
      <c r="L99" s="15">
        <v>529</v>
      </c>
      <c r="M99" s="16">
        <f t="shared" si="23"/>
        <v>68.77</v>
      </c>
      <c r="N99" s="16">
        <f t="shared" si="22"/>
        <v>597.77</v>
      </c>
      <c r="O99" s="46"/>
    </row>
    <row r="100" spans="1:15" ht="126">
      <c r="A100" s="10">
        <v>72</v>
      </c>
      <c r="B100" s="6">
        <v>6</v>
      </c>
      <c r="C100" s="37">
        <v>12</v>
      </c>
      <c r="D100" s="7" t="s">
        <v>322</v>
      </c>
      <c r="E100" s="12" t="s">
        <v>138</v>
      </c>
      <c r="F100" s="12" t="s">
        <v>380</v>
      </c>
      <c r="G100" s="12"/>
      <c r="H100" s="14" t="s">
        <v>381</v>
      </c>
      <c r="I100" s="14" t="s">
        <v>382</v>
      </c>
      <c r="J100" s="14" t="s">
        <v>383</v>
      </c>
      <c r="K100" s="14" t="s">
        <v>384</v>
      </c>
      <c r="L100" s="15">
        <v>700</v>
      </c>
      <c r="M100" s="16">
        <f t="shared" si="23"/>
        <v>91</v>
      </c>
      <c r="N100" s="16">
        <f t="shared" si="22"/>
        <v>791</v>
      </c>
      <c r="O100" s="46"/>
    </row>
    <row r="101" spans="1:15" ht="126">
      <c r="A101" s="10">
        <v>73</v>
      </c>
      <c r="B101" s="6">
        <v>7</v>
      </c>
      <c r="C101" s="37"/>
      <c r="D101" s="7" t="s">
        <v>322</v>
      </c>
      <c r="E101" s="12" t="s">
        <v>138</v>
      </c>
      <c r="F101" s="12" t="s">
        <v>385</v>
      </c>
      <c r="G101" s="12"/>
      <c r="H101" s="14" t="s">
        <v>386</v>
      </c>
      <c r="I101" s="14" t="s">
        <v>387</v>
      </c>
      <c r="J101" s="14" t="s">
        <v>388</v>
      </c>
      <c r="K101" s="14" t="s">
        <v>389</v>
      </c>
      <c r="L101" s="15">
        <v>750</v>
      </c>
      <c r="M101" s="16">
        <f t="shared" si="23"/>
        <v>97.5</v>
      </c>
      <c r="N101" s="16">
        <f t="shared" si="22"/>
        <v>847.5</v>
      </c>
      <c r="O101" s="46"/>
    </row>
    <row r="102" spans="1:15" ht="72">
      <c r="A102" s="10">
        <v>74</v>
      </c>
      <c r="B102" s="6">
        <v>8</v>
      </c>
      <c r="C102" s="7">
        <v>67</v>
      </c>
      <c r="D102" s="7" t="s">
        <v>322</v>
      </c>
      <c r="E102" s="12" t="s">
        <v>138</v>
      </c>
      <c r="F102" s="12" t="s">
        <v>390</v>
      </c>
      <c r="G102" s="12"/>
      <c r="H102" s="14" t="s">
        <v>391</v>
      </c>
      <c r="I102" s="14" t="s">
        <v>392</v>
      </c>
      <c r="J102" s="14" t="s">
        <v>393</v>
      </c>
      <c r="K102" s="94" t="s">
        <v>394</v>
      </c>
      <c r="L102" s="15">
        <v>413</v>
      </c>
      <c r="M102" s="16">
        <f t="shared" si="23"/>
        <v>53.69</v>
      </c>
      <c r="N102" s="16">
        <f t="shared" si="22"/>
        <v>466.69</v>
      </c>
      <c r="O102" s="108"/>
    </row>
    <row r="103" spans="1:15" ht="18.75" thickBot="1">
      <c r="B103" s="55"/>
      <c r="C103" s="56"/>
      <c r="D103" s="56"/>
      <c r="E103" s="56"/>
      <c r="F103" s="56"/>
      <c r="G103" s="56"/>
      <c r="H103" s="56"/>
      <c r="I103" s="56"/>
      <c r="J103" s="56"/>
      <c r="K103" s="56"/>
      <c r="L103" s="75">
        <f>SUM(L95:L102)</f>
        <v>5005</v>
      </c>
      <c r="M103" s="20">
        <f t="shared" si="23"/>
        <v>650.65</v>
      </c>
      <c r="N103" s="76">
        <f>SUM(N95:N102)</f>
        <v>5655.65</v>
      </c>
      <c r="O103" s="77">
        <f>N103/750</f>
        <v>7.5408666666666662</v>
      </c>
    </row>
    <row r="104" spans="1:15">
      <c r="B104" s="30"/>
      <c r="C104" s="30"/>
      <c r="D104" s="30"/>
      <c r="E104" s="30"/>
      <c r="F104" s="30"/>
      <c r="G104" s="30"/>
      <c r="H104" s="30"/>
      <c r="I104" s="30"/>
      <c r="J104" s="30"/>
      <c r="K104" s="30"/>
      <c r="L104" s="31"/>
      <c r="M104" s="32"/>
      <c r="N104" s="32"/>
      <c r="O104" s="103"/>
    </row>
    <row r="105" spans="1:15" ht="21">
      <c r="B105" s="34"/>
      <c r="C105" s="34"/>
      <c r="D105" s="34"/>
      <c r="E105" s="34"/>
      <c r="F105" s="34"/>
      <c r="G105" s="34"/>
      <c r="H105" s="35" t="s">
        <v>190</v>
      </c>
      <c r="I105" s="34"/>
      <c r="J105" s="34"/>
      <c r="K105" s="34"/>
      <c r="L105" s="34"/>
      <c r="M105" s="34"/>
      <c r="N105" s="34"/>
      <c r="O105" s="34"/>
    </row>
    <row r="106" spans="1:15" ht="108">
      <c r="A106" s="10">
        <v>75</v>
      </c>
      <c r="B106" s="7">
        <v>1</v>
      </c>
      <c r="C106" s="37">
        <v>12</v>
      </c>
      <c r="D106" s="7" t="s">
        <v>349</v>
      </c>
      <c r="E106" s="12" t="s">
        <v>149</v>
      </c>
      <c r="F106" s="12" t="s">
        <v>395</v>
      </c>
      <c r="G106" s="12"/>
      <c r="H106" s="14" t="s">
        <v>396</v>
      </c>
      <c r="I106" s="14" t="s">
        <v>397</v>
      </c>
      <c r="J106" s="14" t="s">
        <v>398</v>
      </c>
      <c r="K106" s="14" t="s">
        <v>399</v>
      </c>
      <c r="L106" s="15">
        <v>680</v>
      </c>
      <c r="M106" s="16">
        <f>L106*13/100</f>
        <v>88.4</v>
      </c>
      <c r="N106" s="16">
        <f t="shared" ref="N106:N111" si="24">L106+M106</f>
        <v>768.4</v>
      </c>
      <c r="O106" s="34"/>
    </row>
    <row r="107" spans="1:15" ht="72">
      <c r="A107" s="10">
        <v>76</v>
      </c>
      <c r="B107" s="7">
        <v>2</v>
      </c>
      <c r="C107" s="37"/>
      <c r="D107" s="7" t="s">
        <v>349</v>
      </c>
      <c r="E107" s="12" t="s">
        <v>149</v>
      </c>
      <c r="F107" s="12" t="s">
        <v>400</v>
      </c>
      <c r="G107" s="12"/>
      <c r="H107" s="14" t="s">
        <v>401</v>
      </c>
      <c r="I107" s="14" t="s">
        <v>402</v>
      </c>
      <c r="J107" s="14" t="s">
        <v>403</v>
      </c>
      <c r="K107" s="14" t="s">
        <v>404</v>
      </c>
      <c r="L107" s="15">
        <v>730</v>
      </c>
      <c r="M107" s="16">
        <f t="shared" ref="M107:M112" si="25">L107*13/100</f>
        <v>94.9</v>
      </c>
      <c r="N107" s="16">
        <f t="shared" si="24"/>
        <v>824.9</v>
      </c>
      <c r="O107" s="34"/>
    </row>
    <row r="108" spans="1:15" ht="126">
      <c r="A108" s="10">
        <v>77</v>
      </c>
      <c r="B108" s="7">
        <v>3</v>
      </c>
      <c r="C108" s="37"/>
      <c r="D108" s="7" t="s">
        <v>349</v>
      </c>
      <c r="E108" s="12" t="s">
        <v>149</v>
      </c>
      <c r="F108" s="12" t="s">
        <v>405</v>
      </c>
      <c r="G108" s="12"/>
      <c r="H108" s="14" t="s">
        <v>406</v>
      </c>
      <c r="I108" s="14" t="s">
        <v>407</v>
      </c>
      <c r="J108" s="14" t="s">
        <v>408</v>
      </c>
      <c r="K108" s="14" t="s">
        <v>409</v>
      </c>
      <c r="L108" s="15">
        <v>755</v>
      </c>
      <c r="M108" s="16">
        <f t="shared" si="25"/>
        <v>98.15</v>
      </c>
      <c r="N108" s="20">
        <f t="shared" si="24"/>
        <v>853.15</v>
      </c>
      <c r="O108" s="34"/>
    </row>
    <row r="109" spans="1:15" ht="90">
      <c r="A109" s="10">
        <v>78</v>
      </c>
      <c r="B109" s="7">
        <v>4</v>
      </c>
      <c r="C109" s="37"/>
      <c r="D109" s="7" t="s">
        <v>349</v>
      </c>
      <c r="E109" s="12" t="s">
        <v>149</v>
      </c>
      <c r="F109" s="12" t="s">
        <v>410</v>
      </c>
      <c r="G109" s="12"/>
      <c r="H109" s="14" t="s">
        <v>411</v>
      </c>
      <c r="I109" s="14" t="s">
        <v>412</v>
      </c>
      <c r="J109" s="14" t="s">
        <v>413</v>
      </c>
      <c r="K109" s="14" t="s">
        <v>414</v>
      </c>
      <c r="L109" s="15">
        <v>825</v>
      </c>
      <c r="M109" s="16">
        <f t="shared" si="25"/>
        <v>107.25</v>
      </c>
      <c r="N109" s="20">
        <f t="shared" si="24"/>
        <v>932.25</v>
      </c>
      <c r="O109" s="34"/>
    </row>
    <row r="110" spans="1:15" ht="90">
      <c r="A110" s="10">
        <v>79</v>
      </c>
      <c r="B110" s="7">
        <v>5</v>
      </c>
      <c r="C110" s="37"/>
      <c r="D110" s="7" t="s">
        <v>349</v>
      </c>
      <c r="E110" s="12" t="s">
        <v>149</v>
      </c>
      <c r="F110" s="12" t="s">
        <v>415</v>
      </c>
      <c r="G110" s="12"/>
      <c r="H110" s="14" t="s">
        <v>416</v>
      </c>
      <c r="I110" s="14" t="s">
        <v>417</v>
      </c>
      <c r="J110" s="14" t="s">
        <v>418</v>
      </c>
      <c r="K110" s="14" t="s">
        <v>419</v>
      </c>
      <c r="L110" s="15">
        <v>735</v>
      </c>
      <c r="M110" s="16">
        <f t="shared" si="25"/>
        <v>95.55</v>
      </c>
      <c r="N110" s="16">
        <f t="shared" si="24"/>
        <v>830.55</v>
      </c>
      <c r="O110" s="34"/>
    </row>
    <row r="111" spans="1:15" ht="90">
      <c r="A111" s="10">
        <v>80</v>
      </c>
      <c r="B111" s="7">
        <v>6</v>
      </c>
      <c r="C111" s="37"/>
      <c r="D111" s="7" t="s">
        <v>349</v>
      </c>
      <c r="E111" s="12" t="s">
        <v>149</v>
      </c>
      <c r="F111" s="12" t="s">
        <v>420</v>
      </c>
      <c r="G111" s="12"/>
      <c r="H111" s="14" t="s">
        <v>421</v>
      </c>
      <c r="I111" s="14" t="s">
        <v>422</v>
      </c>
      <c r="J111" s="14" t="s">
        <v>423</v>
      </c>
      <c r="K111" s="14" t="s">
        <v>424</v>
      </c>
      <c r="L111" s="15">
        <v>765</v>
      </c>
      <c r="M111" s="16">
        <f t="shared" si="25"/>
        <v>99.45</v>
      </c>
      <c r="N111" s="16">
        <f t="shared" si="24"/>
        <v>864.45</v>
      </c>
      <c r="O111" s="34"/>
    </row>
    <row r="112" spans="1:15" ht="18">
      <c r="B112" s="34"/>
      <c r="C112" s="34"/>
      <c r="D112" s="34"/>
      <c r="E112" s="34"/>
      <c r="F112" s="34"/>
      <c r="G112" s="34"/>
      <c r="H112" s="34"/>
      <c r="I112" s="34"/>
      <c r="J112" s="34"/>
      <c r="K112" s="34"/>
      <c r="L112" s="104">
        <f>SUM(L106:L111)</f>
        <v>4490</v>
      </c>
      <c r="M112" s="20">
        <f t="shared" si="25"/>
        <v>583.70000000000005</v>
      </c>
      <c r="N112" s="105">
        <f>SUM(N106:N111)</f>
        <v>5073.7</v>
      </c>
      <c r="O112" s="109">
        <f>N112/750</f>
        <v>6.7649333333333335</v>
      </c>
    </row>
    <row r="113" spans="2:15">
      <c r="B113" s="34"/>
      <c r="C113" s="34"/>
      <c r="D113" s="34"/>
      <c r="E113" s="34"/>
      <c r="F113" s="34"/>
      <c r="G113" s="34"/>
      <c r="H113" s="34"/>
      <c r="I113" s="34"/>
      <c r="J113" s="34"/>
      <c r="K113" s="34"/>
      <c r="L113" s="34"/>
      <c r="M113" s="34"/>
      <c r="N113" s="34"/>
      <c r="O113" s="93">
        <f>SUM(O2:O112)</f>
        <v>71.338826666666662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2026-04-08T14:04:33Z</dcterms:created>
  <dcterms:modified xsi:type="dcterms:W3CDTF">2026-04-08T14:04:54Z</dcterms:modified>
</cp:coreProperties>
</file>