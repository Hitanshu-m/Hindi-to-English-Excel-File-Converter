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90" windowWidth="22995" windowHeight="9795" tabRatio="600" firstSheet="0" activeTab="0" autoFilterDateGrouping="1"/>
  </bookViews>
  <sheets>
    <sheet name="Sheet5" sheetId="1" state="visible" r:id="rId1"/>
  </sheets>
  <definedNames/>
  <calcPr calcId="144525" fullCalcOnLoad="1"/>
</workbook>
</file>

<file path=xl/styles.xml><?xml version="1.0" encoding="utf-8"?>
<styleSheet xmlns="http://schemas.openxmlformats.org/spreadsheetml/2006/main">
  <numFmts count="0"/>
  <fonts count="6">
    <font>
      <name val="Calibri"/>
      <charset val="134"/>
      <color theme="1"/>
      <sz val="11"/>
      <scheme val="minor"/>
    </font>
    <font>
      <name val="Calibri"/>
      <family val="2"/>
      <color theme="1"/>
      <sz val="11"/>
      <scheme val="minor"/>
    </font>
    <font>
      <name val="Calibri"/>
      <family val="2"/>
      <b val="1"/>
      <color theme="1"/>
      <sz val="11"/>
      <scheme val="minor"/>
    </font>
    <font>
      <name val="Calibri"/>
      <family val="2"/>
      <b val="1"/>
      <color theme="1"/>
      <sz val="16"/>
      <scheme val="minor"/>
    </font>
    <font>
      <name val="DVOT-SurekhMR"/>
      <color theme="1"/>
      <sz val="11"/>
    </font>
    <font>
      <name val="DVOT-SurekhMR"/>
      <b val="1"/>
      <color theme="1"/>
      <sz val="11"/>
    </font>
  </fonts>
  <fills count="5">
    <fill>
      <patternFill/>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bottom/>
      <diagonal/>
    </border>
    <border>
      <left style="thin">
        <color auto="1"/>
      </left>
      <right/>
      <top/>
      <bottom/>
      <diagonal/>
    </border>
  </borders>
  <cellStyleXfs count="1">
    <xf numFmtId="0" fontId="0" fillId="0" borderId="0"/>
  </cellStyleXfs>
  <cellXfs count="110">
    <xf numFmtId="0" fontId="0" fillId="0" borderId="0" pivotButton="0" quotePrefix="0" xfId="0"/>
    <xf numFmtId="0" fontId="0" fillId="0" borderId="1" pivotButton="0" quotePrefix="0" xfId="0"/>
    <xf numFmtId="0" fontId="0" fillId="0" borderId="2" pivotButton="0" quotePrefix="0" xfId="0"/>
    <xf numFmtId="0" fontId="3" fillId="0" borderId="2" pivotButton="0" quotePrefix="0" xfId="0"/>
    <xf numFmtId="0" fontId="0" fillId="0" borderId="3" pivotButton="0" quotePrefix="0" xfId="0"/>
    <xf numFmtId="0" fontId="1" fillId="0" borderId="0" applyAlignment="1" pivotButton="0" quotePrefix="0" xfId="0">
      <alignment horizontal="center" vertical="center"/>
    </xf>
    <xf numFmtId="0" fontId="4" fillId="0" borderId="4"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5" applyAlignment="1" pivotButton="0" quotePrefix="0" xfId="0">
      <alignment horizontal="center" vertical="center" wrapText="1"/>
    </xf>
    <xf numFmtId="0" fontId="0" fillId="0" borderId="6" pivotButton="0" quotePrefix="0" xfId="0"/>
    <xf numFmtId="0" fontId="0" fillId="0" borderId="0" applyAlignment="1" pivotButton="0" quotePrefix="0" xfId="0">
      <alignment horizontal="center" vertical="center"/>
    </xf>
    <xf numFmtId="0" fontId="4" fillId="0" borderId="7" applyAlignment="1" pivotButton="0" quotePrefix="0" xfId="0">
      <alignment vertical="center" wrapText="1"/>
    </xf>
    <xf numFmtId="49" fontId="4" fillId="0" borderId="5" applyAlignment="1" pivotButton="0" quotePrefix="0" xfId="0">
      <alignment horizontal="center" vertical="center" wrapText="1"/>
    </xf>
    <xf numFmtId="0" fontId="4" fillId="0" borderId="5" applyAlignment="1" pivotButton="0" quotePrefix="0" xfId="0">
      <alignment horizontal="justify" vertical="top"/>
    </xf>
    <xf numFmtId="0" fontId="4" fillId="0" borderId="5" applyAlignment="1" pivotButton="0" quotePrefix="0" xfId="0">
      <alignment horizontal="justify" vertical="top" wrapText="1"/>
    </xf>
    <xf numFmtId="0" fontId="4" fillId="0" borderId="5" applyAlignment="1" pivotButton="0" quotePrefix="0" xfId="0">
      <alignment horizontal="center" vertical="center"/>
    </xf>
    <xf numFmtId="1" fontId="4" fillId="0" borderId="5" applyAlignment="1" pivotButton="0" quotePrefix="0" xfId="0">
      <alignment horizontal="center" vertical="center"/>
    </xf>
    <xf numFmtId="0" fontId="4" fillId="0" borderId="8" applyAlignment="1" pivotButton="0" quotePrefix="0" xfId="0">
      <alignment vertical="center" wrapText="1"/>
    </xf>
    <xf numFmtId="0" fontId="4" fillId="0" borderId="9" applyAlignment="1" pivotButton="0" quotePrefix="0" xfId="0">
      <alignment horizontal="justify" vertical="top" wrapText="1"/>
    </xf>
    <xf numFmtId="0" fontId="4" fillId="0" borderId="10" applyAlignment="1" pivotButton="0" quotePrefix="0" xfId="0">
      <alignment horizontal="center" vertical="center"/>
    </xf>
    <xf numFmtId="1" fontId="5" fillId="0" borderId="5" applyAlignment="1" pivotButton="0" quotePrefix="0" xfId="0">
      <alignment horizontal="center" vertical="center"/>
    </xf>
    <xf numFmtId="0" fontId="4" fillId="2" borderId="4" applyAlignment="1" pivotButton="0" quotePrefix="0" xfId="0">
      <alignment horizontal="center" vertical="center" wrapText="1"/>
    </xf>
    <xf numFmtId="0" fontId="4" fillId="2" borderId="7" applyAlignment="1" pivotButton="0" quotePrefix="0" xfId="0">
      <alignment vertical="center" wrapText="1"/>
    </xf>
    <xf numFmtId="0" fontId="4" fillId="2" borderId="5" applyAlignment="1" pivotButton="0" quotePrefix="0" xfId="0">
      <alignment horizontal="center" vertical="center" wrapText="1"/>
    </xf>
    <xf numFmtId="49" fontId="4" fillId="2" borderId="5" applyAlignment="1" pivotButton="0" quotePrefix="0" xfId="0">
      <alignment horizontal="center" vertical="center" wrapText="1"/>
    </xf>
    <xf numFmtId="0" fontId="4" fillId="2" borderId="5" applyAlignment="1" pivotButton="0" quotePrefix="0" xfId="0">
      <alignment horizontal="justify" vertical="top" wrapText="1"/>
    </xf>
    <xf numFmtId="0" fontId="4" fillId="2" borderId="5" applyAlignment="1" pivotButton="0" quotePrefix="0" xfId="0">
      <alignment horizontal="center" vertical="center"/>
    </xf>
    <xf numFmtId="1" fontId="5" fillId="2" borderId="5" applyAlignment="1" pivotButton="0" quotePrefix="0" xfId="0">
      <alignment horizontal="center" vertical="center"/>
    </xf>
    <xf numFmtId="1" fontId="4" fillId="2" borderId="5" applyAlignment="1" pivotButton="0" quotePrefix="0" xfId="0">
      <alignment horizontal="center" vertical="center"/>
    </xf>
    <xf numFmtId="0" fontId="0" fillId="0" borderId="11" pivotButton="0" quotePrefix="0" xfId="0"/>
    <xf numFmtId="0" fontId="0" fillId="0" borderId="0" pivotButton="0" quotePrefix="0" xfId="0"/>
    <xf numFmtId="0" fontId="2" fillId="0" borderId="0" pivotButton="0" quotePrefix="0" xfId="0"/>
    <xf numFmtId="1" fontId="2" fillId="0" borderId="0" pivotButton="0" quotePrefix="0" xfId="0"/>
    <xf numFmtId="2" fontId="0" fillId="0" borderId="6" pivotButton="0" quotePrefix="0" xfId="0"/>
    <xf numFmtId="0" fontId="0" fillId="0" borderId="5" pivotButton="0" quotePrefix="0" xfId="0"/>
    <xf numFmtId="0" fontId="3" fillId="0" borderId="5" pivotButton="0" quotePrefix="0" xfId="0"/>
    <xf numFmtId="0" fontId="0" fillId="0" borderId="0" applyAlignment="1" pivotButton="0" quotePrefix="0" xfId="0">
      <alignment horizontal="center" vertical="center"/>
    </xf>
    <xf numFmtId="0" fontId="4" fillId="0" borderId="5" applyAlignment="1" pivotButton="0" quotePrefix="0" xfId="0">
      <alignment vertical="center" wrapText="1"/>
    </xf>
    <xf numFmtId="0" fontId="4" fillId="2" borderId="5" applyAlignment="1" pivotButton="0" quotePrefix="0" xfId="0">
      <alignment vertical="center" wrapText="1"/>
    </xf>
    <xf numFmtId="0" fontId="2" fillId="0" borderId="5" pivotButton="0" quotePrefix="0" xfId="0"/>
    <xf numFmtId="1" fontId="2" fillId="0" borderId="5" pivotButton="0" quotePrefix="0" xfId="0"/>
    <xf numFmtId="0" fontId="0" fillId="0" borderId="12" pivotButton="0" quotePrefix="0" xfId="0"/>
    <xf numFmtId="0" fontId="0" fillId="0" borderId="13" pivotButton="0" quotePrefix="0" xfId="0"/>
    <xf numFmtId="0" fontId="3" fillId="0" borderId="13" pivotButton="0" quotePrefix="0" xfId="0"/>
    <xf numFmtId="0" fontId="0" fillId="0" borderId="14" pivotButton="0" quotePrefix="0" xfId="0"/>
    <xf numFmtId="0" fontId="5" fillId="0" borderId="5" applyAlignment="1" pivotButton="0" quotePrefix="0" xfId="0">
      <alignment horizontal="center" vertical="center"/>
    </xf>
    <xf numFmtId="0" fontId="0" fillId="0" borderId="9" pivotButton="0" quotePrefix="0" xfId="0"/>
    <xf numFmtId="0" fontId="4" fillId="0" borderId="5" applyAlignment="1" pivotButton="0" quotePrefix="0" xfId="0">
      <alignment vertical="top"/>
    </xf>
    <xf numFmtId="0" fontId="4" fillId="0" borderId="5" applyAlignment="1" pivotButton="0" quotePrefix="0" xfId="0">
      <alignment horizontal="center" vertical="top"/>
    </xf>
    <xf numFmtId="49" fontId="4" fillId="0" borderId="5" applyAlignment="1" pivotButton="0" quotePrefix="0" xfId="0">
      <alignment horizontal="center" vertical="top"/>
    </xf>
    <xf numFmtId="0" fontId="5" fillId="0" borderId="5" applyAlignment="1" pivotButton="0" quotePrefix="0" xfId="0">
      <alignment horizontal="center" vertical="top"/>
    </xf>
    <xf numFmtId="1" fontId="5" fillId="0" borderId="5" applyAlignment="1" pivotButton="0" quotePrefix="0" xfId="0">
      <alignment horizontal="center" vertical="top"/>
    </xf>
    <xf numFmtId="0" fontId="4" fillId="3" borderId="5" applyAlignment="1" pivotButton="0" quotePrefix="0" xfId="0">
      <alignment horizontal="justify" vertical="top"/>
    </xf>
    <xf numFmtId="0" fontId="5" fillId="3" borderId="5" applyAlignment="1" pivotButton="0" quotePrefix="0" xfId="0">
      <alignment horizontal="center" vertical="center"/>
    </xf>
    <xf numFmtId="1" fontId="5" fillId="3" borderId="5" applyAlignment="1" pivotButton="0" quotePrefix="0" xfId="0">
      <alignment horizontal="center" vertical="center"/>
    </xf>
    <xf numFmtId="0" fontId="0" fillId="0" borderId="15" pivotButton="0" quotePrefix="0" xfId="0"/>
    <xf numFmtId="0" fontId="0" fillId="0" borderId="16" pivotButton="0" quotePrefix="0" xfId="0"/>
    <xf numFmtId="0" fontId="2" fillId="0" borderId="16" applyAlignment="1" pivotButton="0" quotePrefix="0" xfId="0">
      <alignment horizontal="center"/>
    </xf>
    <xf numFmtId="1" fontId="2" fillId="0" borderId="16" applyAlignment="1" pivotButton="0" quotePrefix="0" xfId="0">
      <alignment horizontal="center"/>
    </xf>
    <xf numFmtId="2" fontId="0" fillId="0" borderId="17" applyAlignment="1" pivotButton="0" quotePrefix="0" xfId="0">
      <alignment horizontal="center"/>
    </xf>
    <xf numFmtId="0" fontId="2" fillId="0" borderId="0" pivotButton="0" quotePrefix="0" xfId="0"/>
    <xf numFmtId="1" fontId="2" fillId="0" borderId="0" pivotButton="0" quotePrefix="0" xfId="0"/>
    <xf numFmtId="2" fontId="0" fillId="0" borderId="0" pivotButton="0" quotePrefix="0" xfId="0"/>
    <xf numFmtId="0" fontId="4" fillId="3" borderId="5" applyAlignment="1" pivotButton="0" quotePrefix="0" xfId="0">
      <alignment horizontal="justify" vertical="top" wrapText="1"/>
    </xf>
    <xf numFmtId="0" fontId="4" fillId="3" borderId="5" applyAlignment="1" pivotButton="0" quotePrefix="0" xfId="0">
      <alignment horizontal="center" vertical="center"/>
    </xf>
    <xf numFmtId="0" fontId="4" fillId="4" borderId="4" applyAlignment="1" pivotButton="0" quotePrefix="0" xfId="0">
      <alignment horizontal="center" vertical="center" wrapText="1"/>
    </xf>
    <xf numFmtId="0" fontId="4" fillId="4" borderId="5" applyAlignment="1" pivotButton="0" quotePrefix="0" xfId="0">
      <alignment vertical="center" wrapText="1"/>
    </xf>
    <xf numFmtId="0" fontId="4" fillId="4" borderId="5" applyAlignment="1" pivotButton="0" quotePrefix="0" xfId="0">
      <alignment horizontal="center" vertical="center" wrapText="1"/>
    </xf>
    <xf numFmtId="49" fontId="4" fillId="4" borderId="5" applyAlignment="1" pivotButton="0" quotePrefix="0" xfId="0">
      <alignment horizontal="center" vertical="center" wrapText="1"/>
    </xf>
    <xf numFmtId="0" fontId="4" fillId="4" borderId="5" applyAlignment="1" pivotButton="0" quotePrefix="0" xfId="0">
      <alignment horizontal="justify" vertical="top" wrapText="1"/>
    </xf>
    <xf numFmtId="0" fontId="4" fillId="4" borderId="5" applyAlignment="1" pivotButton="0" quotePrefix="0" xfId="0">
      <alignment horizontal="center" vertical="center"/>
    </xf>
    <xf numFmtId="1" fontId="4" fillId="4" borderId="5" applyAlignment="1" pivotButton="0" quotePrefix="0" xfId="0">
      <alignment horizontal="center" vertical="center"/>
    </xf>
    <xf numFmtId="1" fontId="4" fillId="0" borderId="9" applyAlignment="1" pivotButton="0" quotePrefix="0" xfId="0">
      <alignment horizontal="center" vertical="center"/>
    </xf>
    <xf numFmtId="0" fontId="4" fillId="0" borderId="9" applyAlignment="1" pivotButton="0" quotePrefix="0" xfId="0">
      <alignment horizontal="center" vertical="center"/>
    </xf>
    <xf numFmtId="1" fontId="4" fillId="0" borderId="0" applyAlignment="1" pivotButton="0" quotePrefix="0" xfId="0">
      <alignment horizontal="center" vertical="center"/>
    </xf>
    <xf numFmtId="0" fontId="2" fillId="0" borderId="16" pivotButton="0" quotePrefix="0" xfId="0"/>
    <xf numFmtId="1" fontId="2" fillId="0" borderId="16" pivotButton="0" quotePrefix="0" xfId="0"/>
    <xf numFmtId="2" fontId="0" fillId="0" borderId="17" pivotButton="0" quotePrefix="0" xfId="0"/>
    <xf numFmtId="0" fontId="0" fillId="0" borderId="18" pivotButton="0" quotePrefix="0" xfId="0"/>
    <xf numFmtId="0" fontId="0" fillId="0" borderId="19" pivotButton="0" quotePrefix="0" xfId="0"/>
    <xf numFmtId="0" fontId="2" fillId="0" borderId="19" pivotButton="0" quotePrefix="0" xfId="0"/>
    <xf numFmtId="1" fontId="2" fillId="0" borderId="19" pivotButton="0" quotePrefix="0" xfId="0"/>
    <xf numFmtId="2" fontId="0" fillId="0" borderId="20" pivotButton="0" quotePrefix="0" xfId="0"/>
    <xf numFmtId="0" fontId="0" fillId="0" borderId="21" pivotButton="0" quotePrefix="0" xfId="0"/>
    <xf numFmtId="0" fontId="3" fillId="0" borderId="19" pivotButton="0" quotePrefix="0" xfId="0"/>
    <xf numFmtId="0" fontId="0" fillId="0" borderId="22" pivotButton="0" quotePrefix="0" xfId="0"/>
    <xf numFmtId="0" fontId="4" fillId="0" borderId="8" applyAlignment="1" pivotButton="0" quotePrefix="0" xfId="0">
      <alignment horizontal="center" vertical="center" wrapText="1"/>
    </xf>
    <xf numFmtId="0" fontId="0" fillId="0" borderId="23" pivotButton="0" quotePrefix="0" xfId="0"/>
    <xf numFmtId="0" fontId="0" fillId="0" borderId="7" pivotButton="0" quotePrefix="0" xfId="0"/>
    <xf numFmtId="0" fontId="2" fillId="0" borderId="7" pivotButton="0" quotePrefix="0" xfId="0"/>
    <xf numFmtId="1" fontId="2" fillId="0" borderId="7" pivotButton="0" quotePrefix="0" xfId="0"/>
    <xf numFmtId="2" fontId="0" fillId="0" borderId="24" pivotButton="0" quotePrefix="0" xfId="0"/>
    <xf numFmtId="0" fontId="4" fillId="0" borderId="5" applyAlignment="1" pivotButton="0" quotePrefix="0" xfId="0">
      <alignment horizontal="justify" vertical="justify" wrapText="1"/>
    </xf>
    <xf numFmtId="2" fontId="0" fillId="0" borderId="5" pivotButton="0" quotePrefix="0" xfId="0"/>
    <xf numFmtId="0" fontId="4" fillId="0" borderId="5" applyAlignment="1" pivotButton="0" quotePrefix="0" xfId="0">
      <alignment vertical="top" wrapText="1"/>
    </xf>
    <xf numFmtId="1" fontId="5" fillId="4" borderId="5" applyAlignment="1" pivotButton="0" quotePrefix="0" xfId="0">
      <alignment horizontal="center" vertical="center"/>
    </xf>
    <xf numFmtId="0" fontId="4" fillId="2" borderId="5" applyAlignment="1" pivotButton="0" quotePrefix="0" xfId="0">
      <alignment vertical="top" wrapText="1"/>
    </xf>
    <xf numFmtId="49" fontId="4" fillId="3" borderId="5" applyAlignment="1" pivotButton="0" quotePrefix="0" xfId="0">
      <alignment horizontal="center" vertical="center" wrapText="1"/>
    </xf>
    <xf numFmtId="1" fontId="4" fillId="3" borderId="5" applyAlignment="1" pivotButton="0" quotePrefix="0" xfId="0">
      <alignment horizontal="center" vertical="center"/>
    </xf>
    <xf numFmtId="0" fontId="0" fillId="3" borderId="9" pivotButton="0" quotePrefix="0" xfId="0"/>
    <xf numFmtId="0" fontId="4" fillId="3" borderId="5" applyAlignment="1" pivotButton="0" quotePrefix="0" xfId="0">
      <alignment vertical="center" wrapText="1"/>
    </xf>
    <xf numFmtId="0" fontId="4" fillId="0" borderId="4" applyAlignment="1" pivotButton="0" quotePrefix="0" xfId="0">
      <alignment vertical="center" wrapText="1"/>
    </xf>
    <xf numFmtId="1" fontId="5" fillId="3" borderId="0" applyAlignment="1" pivotButton="0" quotePrefix="0" xfId="0">
      <alignment horizontal="center" vertical="center"/>
    </xf>
    <xf numFmtId="2" fontId="0" fillId="0" borderId="0" pivotButton="0" quotePrefix="0" xfId="0"/>
    <xf numFmtId="0" fontId="2" fillId="0" borderId="5" applyAlignment="1" pivotButton="0" quotePrefix="0" xfId="0">
      <alignment horizontal="center"/>
    </xf>
    <xf numFmtId="1" fontId="2" fillId="0" borderId="5" applyAlignment="1" pivotButton="0" quotePrefix="0" xfId="0">
      <alignment horizontal="center"/>
    </xf>
    <xf numFmtId="0" fontId="2" fillId="0" borderId="0" applyAlignment="1" pivotButton="0" quotePrefix="0" xfId="0">
      <alignment horizontal="center"/>
    </xf>
    <xf numFmtId="1" fontId="2" fillId="0" borderId="0" applyAlignment="1" pivotButton="0" quotePrefix="0" xfId="0">
      <alignment horizontal="center"/>
    </xf>
    <xf numFmtId="2" fontId="0" fillId="0" borderId="9" pivotButton="0" quotePrefix="0" xfId="0"/>
    <xf numFmtId="2" fontId="2"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3"/>
  <sheetViews>
    <sheetView tabSelected="1" topLeftCell="E105" zoomScale="90" zoomScaleNormal="90" workbookViewId="0">
      <selection activeCell="E1" sqref="E1:O113"/>
    </sheetView>
  </sheetViews>
  <sheetFormatPr baseColWidth="8" defaultRowHeight="15"/>
  <cols>
    <col width="7.85546875" customWidth="1" style="30" min="2" max="2"/>
    <col width="10.140625" customWidth="1" style="30" min="3" max="3"/>
    <col width="12.28515625" customWidth="1" style="30" min="4" max="4"/>
    <col width="9" customWidth="1" style="30" min="5" max="5"/>
    <col width="8.85546875" customWidth="1" style="30" min="6" max="6"/>
    <col width="20.140625" customWidth="1" style="30" min="7" max="7"/>
    <col width="37" customWidth="1" style="30" min="8" max="8"/>
    <col width="49.7109375" customWidth="1" style="30" min="9" max="9"/>
    <col width="39.140625" customWidth="1" style="30" min="10" max="10"/>
    <col width="37.5703125" customWidth="1" style="30" min="11" max="11"/>
  </cols>
  <sheetData>
    <row r="1" ht="21" customHeight="1" s="30">
      <c r="B1" s="1" t="n"/>
      <c r="C1" s="2" t="n"/>
      <c r="D1" s="2" t="n"/>
      <c r="E1" s="2" t="n"/>
      <c r="F1" s="2" t="n"/>
      <c r="G1" s="2" t="n"/>
      <c r="H1" s="3" t="inlineStr">
        <is>
          <t>Prabhaga No. 1</t>
        </is>
      </c>
      <c r="I1" s="2" t="n"/>
      <c r="J1" s="2" t="n"/>
      <c r="K1" s="2" t="n"/>
      <c r="L1" s="2" t="n"/>
      <c r="M1" s="2" t="n"/>
      <c r="N1" s="2" t="n"/>
      <c r="O1" s="4" t="n"/>
    </row>
    <row r="2" ht="108" customHeight="1" s="30">
      <c r="A2" s="5" t="inlineStr">
        <is>
          <t>Praganaka Gata</t>
        </is>
      </c>
      <c r="B2" s="6" t="inlineStr">
        <is>
          <t>Anu No.</t>
        </is>
      </c>
      <c r="C2" s="7" t="inlineStr">
        <is>
          <t>Paryaveksakace Namva</t>
        </is>
      </c>
      <c r="D2" s="7" t="inlineStr">
        <is>
          <t>Varda / Prabhagace Namva Or No.</t>
        </is>
      </c>
      <c r="E2" s="7" t="inlineStr">
        <is>
          <t>Varda / Prabhagace Namva Or Sthalamka No.</t>
        </is>
      </c>
      <c r="F2" s="7" t="inlineStr">
        <is>
          <t>Census 2027 According to Gata</t>
        </is>
      </c>
      <c r="G2" s="7" t="inlineStr">
        <is>
          <t>Praganakace Namva</t>
        </is>
      </c>
      <c r="H2" s="8" t="inlineStr">
        <is>
          <t>North</t>
        </is>
      </c>
      <c r="I2" s="8" t="inlineStr">
        <is>
          <t>South</t>
        </is>
      </c>
      <c r="J2" s="8" t="inlineStr">
        <is>
          <t>East</t>
        </is>
      </c>
      <c r="K2" s="8" t="inlineStr">
        <is>
          <t>West</t>
        </is>
      </c>
      <c r="L2" s="8" t="inlineStr">
        <is>
          <t>2011 Of Population</t>
        </is>
      </c>
      <c r="M2" s="8" t="inlineStr">
        <is>
          <t>Increase 15% According</t>
        </is>
      </c>
      <c r="N2" s="8" t="inlineStr">
        <is>
          <t>Estimated Population 2027</t>
        </is>
      </c>
      <c r="O2" s="9" t="n"/>
    </row>
    <row r="3" ht="107.25" customHeight="1" s="30">
      <c r="A3" s="36" t="n">
        <v>1</v>
      </c>
      <c r="B3" s="6" t="n">
        <v>1</v>
      </c>
      <c r="C3" s="11" t="n"/>
      <c r="D3" s="7" t="inlineStr">
        <is>
          <t>Prabhaga No. 1</t>
        </is>
      </c>
      <c r="E3" s="12" t="inlineStr">
        <is>
          <t>0001</t>
        </is>
      </c>
      <c r="F3" s="12" t="inlineStr">
        <is>
          <t>0002</t>
        </is>
      </c>
      <c r="G3" s="12" t="n"/>
      <c r="H3" s="13" t="inlineStr">
        <is>
          <t>Pipara Village Adjacent Tumasara N. P. Boundary Plot Number N. 70</t>
        </is>
      </c>
      <c r="I3" s="14" t="inlineStr">
        <is>
          <t>Tumasara Mehagamva Adjacent N. P. Boundary Plot Number No. 1469 to Gita Steel Shop to Straight By Road N. P. Water Pipe Tank</t>
        </is>
      </c>
      <c r="J3" s="13" t="inlineStr">
        <is>
          <t>N. P. Water Tank to Straight By Road Buddha Statue Shri Sachin Residence to Straight Shri Kishor ji Bhavasagar Of them House In Front House to Shri Sudhir meshram Of them House to Mrs. Archana Liladhar Pahade Of them House to Northern Side Pipara Village Adjacent N. P. Boundary Plot Number No. 70 Up to</t>
        </is>
      </c>
      <c r="K3" s="13" t="inlineStr">
        <is>
          <t>Tumasara Mehagamva Adjacent Tumasara N. P. Boundary Plot Number N. 1469 to Pipara Village Adjacent Tumasara N. P. Boundary Plot Number N. 70 Up to</t>
        </is>
      </c>
      <c r="L3" s="15" t="n">
        <v>670</v>
      </c>
      <c r="M3" s="16">
        <f>L3*15/100</f>
        <v/>
      </c>
      <c r="N3" s="16">
        <f>L3+M3</f>
        <v/>
      </c>
      <c r="O3" s="9" t="n"/>
    </row>
    <row r="4" ht="74.25" customHeight="1" s="30">
      <c r="A4" s="36" t="n">
        <v>2</v>
      </c>
      <c r="B4" s="6" t="n">
        <v>3</v>
      </c>
      <c r="C4" s="11" t="n"/>
      <c r="D4" s="7" t="inlineStr">
        <is>
          <t>Prabhaga No. 1</t>
        </is>
      </c>
      <c r="E4" s="12" t="inlineStr">
        <is>
          <t>0001</t>
        </is>
      </c>
      <c r="F4" s="12" t="inlineStr">
        <is>
          <t>0003</t>
        </is>
      </c>
      <c r="G4" s="12" t="n"/>
      <c r="H4" s="14" t="inlineStr">
        <is>
          <t>Indutai Memorial Primary School to Shri Liladhar Rodage Of them House to Shri Dinesh Dongre Of them House to Shri Rajkumar Chandrikapure Of them Up to the House</t>
        </is>
      </c>
      <c r="I4" s="14" t="inlineStr">
        <is>
          <t>Shri Satyendra Avasthi Of them House to Shri Manoj Bicycle Stores to Shri Rajkumar Chandrikapure Of them House Up to</t>
        </is>
      </c>
      <c r="J4" s="13" t="inlineStr">
        <is>
          <t>Shri Rajkumar Chandrikapure Of them House to Shri Vishal Bansod Of them House to N. P. Road across Shri Dadu Meshram Of them Plot Up to</t>
        </is>
      </c>
      <c r="K4" s="13" t="inlineStr">
        <is>
          <t>Indutai Memorial Primary School to Shri Ambadas Borkar Of them House to Shri Satyendra Avasthi Of them Up to the House</t>
        </is>
      </c>
      <c r="L4" s="15" t="n">
        <v>477</v>
      </c>
      <c r="M4" s="16">
        <f>L4*15/100</f>
        <v/>
      </c>
      <c r="N4" s="16">
        <f>L4+M4</f>
        <v/>
      </c>
      <c r="O4" s="9" t="n"/>
    </row>
    <row r="5" ht="106.5" customHeight="1" s="30">
      <c r="A5" s="36" t="n">
        <v>3</v>
      </c>
      <c r="B5" s="6" t="n">
        <v>3</v>
      </c>
      <c r="C5" s="11" t="n"/>
      <c r="D5" s="7" t="inlineStr">
        <is>
          <t>Prabhaga No. 1</t>
        </is>
      </c>
      <c r="E5" s="12" t="inlineStr">
        <is>
          <t>0001</t>
        </is>
      </c>
      <c r="F5" s="12" t="inlineStr">
        <is>
          <t>0004</t>
        </is>
      </c>
      <c r="G5" s="12" t="n"/>
      <c r="H5" s="14" t="inlineStr">
        <is>
          <t>Pipara Village Adjacent Tumasara N. P. Boundary Plot Number N. 70</t>
        </is>
      </c>
      <c r="I5" s="14" t="inlineStr">
        <is>
          <t>Mrs. Jija Rajhans Bansod Of them House to Road across Shri Kishor Bhavasagar Of them House to Shri Nimai Haldar Of them House to Road Across Bhajanlal Meshram Of them House to Shri Rajesh Vanjari Of them House to Road across Shri Anil Ramteke Of them House Kumar Dongre Of them House to Shri Dongre Of them Gharapamryata</t>
        </is>
      </c>
      <c r="J5" s="14" t="inlineStr">
        <is>
          <t>Shri Dongre Of them House to Straight Pipara By Road Larda Lady College to Pipara Village Adjacent Tumasara N. P. Boundary Plot Number No. 70 Up to</t>
        </is>
      </c>
      <c r="K5" s="14" t="inlineStr">
        <is>
          <t>Shri Ashok Ghodichor Of them House to Mrs. Jija Rajhans Bansod Of them House to Pipara Village Adjacent Tumasara N. P. Boundary Plot Number No. 70</t>
        </is>
      </c>
      <c r="L5" s="15" t="n">
        <v>593</v>
      </c>
      <c r="M5" s="16">
        <f>L5*15/100</f>
        <v/>
      </c>
      <c r="N5" s="16">
        <f>L5+M5</f>
        <v/>
      </c>
      <c r="O5" s="9" t="n"/>
    </row>
    <row r="6" ht="72" customHeight="1" s="30">
      <c r="A6" s="36" t="n">
        <v>4</v>
      </c>
      <c r="B6" s="6" t="n">
        <v>4</v>
      </c>
      <c r="C6" s="17" t="n">
        <v>2</v>
      </c>
      <c r="D6" s="7" t="inlineStr">
        <is>
          <t>Prabhaga No. 10</t>
        </is>
      </c>
      <c r="E6" s="12" t="inlineStr">
        <is>
          <t>0010</t>
        </is>
      </c>
      <c r="F6" s="12" t="inlineStr">
        <is>
          <t>0029</t>
        </is>
      </c>
      <c r="G6" s="12" t="n"/>
      <c r="H6" s="14" t="inlineStr">
        <is>
          <t>Shri Dadu Meshram Of them Below Plot near Jhenda Chauk to Straight By Road Ramai Statue Back Part to Shri Ramakamta Boraghare Of them House Up to</t>
        </is>
      </c>
      <c r="I6" s="14" t="inlineStr">
        <is>
          <t>Shri Bharat Meshram Of them House from to Shri S V Karanjkar Of them Gharapamryata</t>
        </is>
      </c>
      <c r="J6" s="14" t="inlineStr">
        <is>
          <t>Shri Ramakamta Boraghare Of them House from to Shri S V Karanjkar Of them Gharapamryata</t>
        </is>
      </c>
      <c r="K6" s="14" t="inlineStr">
        <is>
          <t>Shri Bharat Meshram Of them House to Shri Dadu Meshram Of them Below Plot near Jhenda Chauk Up to</t>
        </is>
      </c>
      <c r="L6" s="15" t="n">
        <v>436</v>
      </c>
      <c r="M6" s="16">
        <f>L6*15/100</f>
        <v/>
      </c>
      <c r="N6" s="16">
        <f>L6+M6</f>
        <v/>
      </c>
      <c r="O6" s="18" t="n"/>
      <c r="P6" s="19" t="n"/>
      <c r="Q6" s="16" t="n"/>
      <c r="R6" s="16" t="n"/>
    </row>
    <row r="7" ht="72" customHeight="1" s="30">
      <c r="A7" s="36" t="n">
        <v>5</v>
      </c>
      <c r="B7" s="6" t="n">
        <v>5</v>
      </c>
      <c r="C7" s="11" t="n"/>
      <c r="D7" s="7" t="inlineStr">
        <is>
          <t>Prabhaga No. 10</t>
        </is>
      </c>
      <c r="E7" s="12" t="inlineStr">
        <is>
          <t>0010</t>
        </is>
      </c>
      <c r="F7" s="12" t="inlineStr">
        <is>
          <t>0030</t>
        </is>
      </c>
      <c r="G7" s="12" t="n"/>
      <c r="H7" s="14" t="inlineStr">
        <is>
          <t>Shri Mahatma Jyotiba Phule Public Sabhagrha and Library to Shri Dashrath Dharange Of them House to Mrs. Shankantla Jibhakate Of them House Up to</t>
        </is>
      </c>
      <c r="I7" s="14" t="inlineStr">
        <is>
          <t>Mrs. Prabhatai Residence to Shri Phulekara Campus near empty Plot Up to</t>
        </is>
      </c>
      <c r="J7" s="14" t="inlineStr">
        <is>
          <t>Mrs. Shankantla Jibhakate Of them House to Mrs. Prabhatai Residence Up to</t>
        </is>
      </c>
      <c r="K7" s="14" t="inlineStr">
        <is>
          <t>Shri Phulekara Campus near empty Plot to Shri Mahatma Jyotiba Phule Public Sabhagrha and Library Up to</t>
        </is>
      </c>
      <c r="L7" s="15" t="n">
        <v>560</v>
      </c>
      <c r="M7" s="16">
        <f>L7*15/100</f>
        <v/>
      </c>
      <c r="N7" s="20">
        <f>L7+M7</f>
        <v/>
      </c>
      <c r="O7" s="9" t="n"/>
    </row>
    <row r="8" ht="54" customHeight="1" s="30">
      <c r="A8" s="36" t="n">
        <v>6</v>
      </c>
      <c r="B8" s="21" t="n">
        <v>6</v>
      </c>
      <c r="C8" s="22" t="n"/>
      <c r="D8" s="23" t="inlineStr">
        <is>
          <t>Prabhaga No. 10</t>
        </is>
      </c>
      <c r="E8" s="24" t="inlineStr">
        <is>
          <t>0010</t>
        </is>
      </c>
      <c r="F8" s="12" t="inlineStr">
        <is>
          <t>0031</t>
        </is>
      </c>
      <c r="G8" s="24" t="n"/>
      <c r="H8" s="25" t="inlineStr">
        <is>
          <t>Shri Pravin Bhoyar them House near Ilektika Pole from to Mrs. Mamata Wanakhede Of them House Up to</t>
        </is>
      </c>
      <c r="I8" s="25" t="inlineStr">
        <is>
          <t>Shri Subhash Meshram Of them House to Shri Sonu Nagadeve Of them House Up to</t>
        </is>
      </c>
      <c r="J8" s="25" t="inlineStr">
        <is>
          <t>Shri Sonu Nagadeve Of them House to Shri Pravina Bhure Of them House Up to</t>
        </is>
      </c>
      <c r="K8" s="25" t="inlineStr">
        <is>
          <t>Mrs. Mamata Wanakhede Of them House to Shri Sambhasa Meshram Of them House Up to</t>
        </is>
      </c>
      <c r="L8" s="26" t="n">
        <v>387</v>
      </c>
      <c r="M8" s="16">
        <f>L8*15/100</f>
        <v/>
      </c>
      <c r="N8" s="27">
        <f>L8+M8</f>
        <v/>
      </c>
      <c r="O8" s="9" t="n"/>
    </row>
    <row r="9" ht="54" customHeight="1" s="30">
      <c r="A9" s="36" t="n">
        <v>7</v>
      </c>
      <c r="B9" s="21" t="n">
        <v>0</v>
      </c>
      <c r="C9" s="22" t="n"/>
      <c r="D9" s="23" t="inlineStr">
        <is>
          <t>Prabhaga No. 10</t>
        </is>
      </c>
      <c r="E9" s="24" t="inlineStr">
        <is>
          <t>0010</t>
        </is>
      </c>
      <c r="F9" s="12" t="inlineStr">
        <is>
          <t>0032</t>
        </is>
      </c>
      <c r="G9" s="24" t="n"/>
      <c r="H9" s="25" t="inlineStr">
        <is>
          <t>Jhenda Chauk Adjacent Shri Maheza Balirama Rauta Of them House to old Vishal Highschool In Front Vighuta Khamb Up to</t>
        </is>
      </c>
      <c r="I9" s="25" t="inlineStr">
        <is>
          <t>Indutai Memorial Highschool to old Vishal Highschool In Front Vighuta Khamb Up to</t>
        </is>
      </c>
      <c r="J9" s="25" t="inlineStr">
        <is>
          <t>old Vishal Highschool In Front Vighuta Khamb Up to</t>
        </is>
      </c>
      <c r="K9" s="25" t="inlineStr">
        <is>
          <t>Indutai Memorial Highschool to Jhenda Chauk Adjacent Shri Maheza Balirama Rauta Of them Gharapamryata</t>
        </is>
      </c>
      <c r="L9" s="26" t="n">
        <v>424</v>
      </c>
      <c r="M9" s="16">
        <f>L9*15/100</f>
        <v/>
      </c>
      <c r="N9" s="28">
        <f>L9+M9</f>
        <v/>
      </c>
      <c r="O9" s="9" t="n"/>
    </row>
    <row r="10">
      <c r="B10" s="29" t="n"/>
      <c r="L10" s="60">
        <f>SUM(L3:L9)</f>
        <v/>
      </c>
      <c r="M10" s="61">
        <f>SUM(M3:M9)</f>
        <v/>
      </c>
      <c r="N10" s="61">
        <f>SUM(N3:N9)</f>
        <v/>
      </c>
      <c r="O10" s="33">
        <f>N10/750</f>
        <v/>
      </c>
    </row>
    <row r="11" ht="21" customHeight="1" s="30">
      <c r="B11" s="34" t="n"/>
      <c r="C11" s="34" t="n"/>
      <c r="D11" s="34" t="n"/>
      <c r="E11" s="34" t="n"/>
      <c r="F11" s="34" t="n"/>
      <c r="G11" s="34" t="n"/>
      <c r="H11" s="35" t="inlineStr">
        <is>
          <t>Prabhaga No. 2</t>
        </is>
      </c>
      <c r="I11" s="34" t="n"/>
      <c r="J11" s="34" t="n"/>
      <c r="K11" s="34" t="n"/>
      <c r="L11" s="34" t="n"/>
      <c r="M11" s="34" t="n"/>
      <c r="N11" s="34" t="n"/>
      <c r="O11" s="34" t="n"/>
    </row>
    <row r="12" ht="54" customHeight="1" s="30">
      <c r="A12" s="36" t="n">
        <v>8</v>
      </c>
      <c r="B12" s="7" t="n">
        <v>1</v>
      </c>
      <c r="C12" s="37" t="n"/>
      <c r="D12" s="7" t="inlineStr">
        <is>
          <t>Prabhaga No. 1</t>
        </is>
      </c>
      <c r="E12" s="12" t="inlineStr">
        <is>
          <t>0001</t>
        </is>
      </c>
      <c r="F12" s="12" t="inlineStr">
        <is>
          <t>0005</t>
        </is>
      </c>
      <c r="G12" s="12" t="n"/>
      <c r="H12" s="14" t="inlineStr">
        <is>
          <t>Pipara Village Adjacent Tumasara N. P. Boundary Plot Number N. 81 to Plot Number N. 84 Up to</t>
        </is>
      </c>
      <c r="I12" s="14" t="inlineStr">
        <is>
          <t>Shri Dvarakaprasad Binajhade to Shri Amaranatha Jivanalala Ragade Of them House to Taluka Laghu Pashu geological hospital to Municipal Council Primary School ( Vishal Highschool ) Up to</t>
        </is>
      </c>
      <c r="J12" s="14" t="inlineStr">
        <is>
          <t>Municipal Council Primary School ( Vishal Highschool ) to Pipara Village Adjacent Tumasara N. P. Boundary Plot Number No. 84 Up to</t>
        </is>
      </c>
      <c r="K12" s="14" t="inlineStr">
        <is>
          <t>Shri B G Meshram Of them House to Shri Dvarakaprasad Binajhade Of them Gharapamryata</t>
        </is>
      </c>
      <c r="L12" s="15" t="n">
        <v>836</v>
      </c>
      <c r="M12" s="16">
        <f>L12*13/100</f>
        <v/>
      </c>
      <c r="N12" s="20">
        <f>L12+M12</f>
        <v/>
      </c>
      <c r="O12" s="34" t="n"/>
    </row>
    <row r="13" ht="90" customHeight="1" s="30">
      <c r="A13" s="36" t="n">
        <v>9</v>
      </c>
      <c r="B13" s="23" t="n">
        <v>2</v>
      </c>
      <c r="C13" s="38" t="n"/>
      <c r="D13" s="23" t="inlineStr">
        <is>
          <t>Prabhaga No. 1</t>
        </is>
      </c>
      <c r="E13" s="24" t="inlineStr">
        <is>
          <t>0001</t>
        </is>
      </c>
      <c r="F13" s="12" t="inlineStr">
        <is>
          <t>0006</t>
        </is>
      </c>
      <c r="G13" s="24" t="n"/>
      <c r="H13" s="25" t="inlineStr">
        <is>
          <t>Pipara Village Adjacent Tumasara N. P. Boundary Plot Number N. 96 to Plot Number N. 155 Up to</t>
        </is>
      </c>
      <c r="I13" s="25" t="inlineStr">
        <is>
          <t>Bhumi Abhilekha Office to Tehsil Office Playground to Arjanavisa Complex to Shri Pamduramga Bhogade Of them House to to Shri Ramazvara Tidake Of them House to Municipal Council Public Toilet to Mrs. Lilabai Gajbhiye Of them House to Sant Chokhameda Smarak Up to</t>
        </is>
      </c>
      <c r="J13" s="25" t="inlineStr">
        <is>
          <t>Sant Chokhameda Smarak Mrs. Lilabai Gajbhiye Of them House to Mrs. Kumdatai Shevate Of them House to Tumasara Municipal Council Boundary Plot Number N. 155 Up to</t>
        </is>
      </c>
      <c r="K13" s="25" t="inlineStr">
        <is>
          <t>Pipara Village Adjacent Tumasara N. P. Boundary Plot Number N. 96 to New Talathi Office to Bhumi Abhilekha Office Up to</t>
        </is>
      </c>
      <c r="L13" s="26" t="n">
        <v>363</v>
      </c>
      <c r="M13" s="16">
        <f>L13*13/100</f>
        <v/>
      </c>
      <c r="N13" s="27">
        <f>L13+M13</f>
        <v/>
      </c>
      <c r="O13" s="34" t="n"/>
    </row>
    <row r="14" ht="54" customHeight="1" s="30">
      <c r="A14" s="36" t="n">
        <v>10</v>
      </c>
      <c r="B14" s="23" t="n"/>
      <c r="C14" s="38" t="n"/>
      <c r="D14" s="23" t="inlineStr">
        <is>
          <t>Prabhaga No. 7</t>
        </is>
      </c>
      <c r="E14" s="24" t="inlineStr">
        <is>
          <t>0007</t>
        </is>
      </c>
      <c r="F14" s="12" t="inlineStr">
        <is>
          <t>0007</t>
        </is>
      </c>
      <c r="G14" s="24" t="n"/>
      <c r="H14" s="25" t="inlineStr">
        <is>
          <t>Yerli Village Adjacent Tumasara N. P. Boundary Plot Number No. 156 Gopala Wadi )</t>
        </is>
      </c>
      <c r="I14" s="25" t="inlineStr">
        <is>
          <t>Shri Narabaji Patil Of them from house to Straight N. P. By Road N. P. Chintaman Bisane Pratha. School Shri Salam Turak Of them House to Tumasara Yerli Road corner</t>
        </is>
      </c>
      <c r="J14" s="25" t="inlineStr">
        <is>
          <t>Tumasara Yerli Road corner</t>
        </is>
      </c>
      <c r="K14" s="25" t="inlineStr">
        <is>
          <t>Gopala Wadi to Tumasara N. P. Boundary Plot Number No. 156</t>
        </is>
      </c>
      <c r="L14" s="26" t="n">
        <v>425</v>
      </c>
      <c r="M14" s="16">
        <f>L14*13/100</f>
        <v/>
      </c>
      <c r="N14" s="28">
        <f>L14+M14</f>
        <v/>
      </c>
      <c r="O14" s="34" t="n"/>
    </row>
    <row r="15" ht="36" customHeight="1" s="30">
      <c r="A15" s="36" t="n">
        <v>11</v>
      </c>
      <c r="B15" s="7" t="n">
        <v>3</v>
      </c>
      <c r="C15" s="37" t="n"/>
      <c r="D15" s="7" t="inlineStr">
        <is>
          <t>Prabhaga No. 7</t>
        </is>
      </c>
      <c r="E15" s="12" t="inlineStr">
        <is>
          <t>0007</t>
        </is>
      </c>
      <c r="F15" s="12" t="inlineStr">
        <is>
          <t>0008</t>
        </is>
      </c>
      <c r="G15" s="12" t="n"/>
      <c r="H15" s="14" t="inlineStr">
        <is>
          <t>Shri Badavaika Of them workshop to Nagar Parishad High Mast Light Up to</t>
        </is>
      </c>
      <c r="I15" s="14" t="inlineStr">
        <is>
          <t>Shri Sonakusare Of them from house to Shri Badavaika Of them workshop Up to</t>
        </is>
      </c>
      <c r="J15" s="14" t="inlineStr">
        <is>
          <t>Nagar Parishad High Mast Light to Shri Sonakusare Of them House Up to</t>
        </is>
      </c>
      <c r="K15" s="14" t="inlineStr">
        <is>
          <t>Shri Badavaika Of them Workshop corner</t>
        </is>
      </c>
      <c r="L15" s="15" t="n">
        <v>595</v>
      </c>
      <c r="M15" s="16">
        <f>L15*13/100</f>
        <v/>
      </c>
      <c r="N15" s="16">
        <f>L15+M15</f>
        <v/>
      </c>
      <c r="O15" s="34" t="n"/>
    </row>
    <row r="16" ht="36" customHeight="1" s="30">
      <c r="A16" s="36" t="n">
        <v>12</v>
      </c>
      <c r="B16" s="7" t="n">
        <v>4</v>
      </c>
      <c r="C16" s="37" t="n"/>
      <c r="D16" s="7" t="inlineStr">
        <is>
          <t>Prabhaga No. 7</t>
        </is>
      </c>
      <c r="E16" s="12" t="inlineStr">
        <is>
          <t>0007</t>
        </is>
      </c>
      <c r="F16" s="12" t="inlineStr">
        <is>
          <t>0009</t>
        </is>
      </c>
      <c r="G16" s="12" t="n"/>
      <c r="H16" s="13" t="inlineStr">
        <is>
          <t>Habib Mamjila corner to Shri Patil Of them House Up to</t>
        </is>
      </c>
      <c r="I16" s="13" t="inlineStr">
        <is>
          <t>Big Bajar Chauk to Shri Sonakusare Of them front of the house House</t>
        </is>
      </c>
      <c r="J16" s="13" t="inlineStr">
        <is>
          <t>Habib Mamjila corner to Big Bajar Chauk Up to</t>
        </is>
      </c>
      <c r="K16" s="13" t="inlineStr">
        <is>
          <t>Shri Patil Of them from the house to Shri Sonakusare Of them House In Front House Up to</t>
        </is>
      </c>
      <c r="L16" s="15" t="n">
        <v>682</v>
      </c>
      <c r="M16" s="16">
        <f>L16*13/100</f>
        <v/>
      </c>
      <c r="N16" s="16">
        <f>L16+M16</f>
        <v/>
      </c>
      <c r="O16" s="34" t="n"/>
    </row>
    <row r="17" ht="90" customHeight="1" s="30">
      <c r="A17" s="36" t="n">
        <v>13</v>
      </c>
      <c r="B17" s="7" t="n">
        <v>5</v>
      </c>
      <c r="C17" s="37" t="n"/>
      <c r="D17" s="7" t="inlineStr">
        <is>
          <t>Prabhaga No. 2</t>
        </is>
      </c>
      <c r="E17" s="12" t="inlineStr">
        <is>
          <t>0002</t>
        </is>
      </c>
      <c r="F17" s="12" t="inlineStr">
        <is>
          <t>0010</t>
        </is>
      </c>
      <c r="G17" s="12" t="n"/>
      <c r="H17" s="14" t="inlineStr">
        <is>
          <t>Yerli Village Adjacent Tumasara N. P. Boundary Plot Number No. Tumani Nala) to Straight Yerli By Road Municipal Council Public Toilet to Badabajar Chauk Shri Hanuman Temple Up to</t>
        </is>
      </c>
      <c r="I17" s="14" t="inlineStr">
        <is>
          <t>Shri Vasudev Bhure Of them House from to Shri Rohit Meshram Of them House to Zazri Abhijit Godbole Of them House to Shri Rupachand Gajbhiye Of them House near Dr.  Babasaheb Ambedkar Statue to Straight By Road Ravina Buddha Vihar front of empty space to Village Adjacent Tumasara N. P. Boundary Plot Number No. Tumani Nala) Up to</t>
        </is>
      </c>
      <c r="J17" s="14" t="inlineStr">
        <is>
          <t>Yerli Village Adjacent Tumasara N. P. Boundary Plot Number No. Tumani Nala) to Plot Number No. Tumani Nala) Up to</t>
        </is>
      </c>
      <c r="K17" s="14" t="inlineStr">
        <is>
          <t>Shri Bhure Of them House from to Badabajar Chauk Shri Hanuman Temple Up to N. P. Boundary Plot Number No. 280 Dongarala Nala) Up to</t>
        </is>
      </c>
      <c r="L17" s="15" t="n">
        <v>564</v>
      </c>
      <c r="M17" s="16">
        <f>L17*13/100</f>
        <v/>
      </c>
      <c r="N17" s="16">
        <f>L17+M17</f>
        <v/>
      </c>
      <c r="O17" s="34" t="n"/>
    </row>
    <row r="18" ht="72" customHeight="1" s="30">
      <c r="A18" s="36" t="n">
        <v>14</v>
      </c>
      <c r="B18" s="7" t="n">
        <v>6</v>
      </c>
      <c r="C18" s="37" t="n"/>
      <c r="D18" s="7" t="inlineStr">
        <is>
          <t>Prabhaga No. 2</t>
        </is>
      </c>
      <c r="E18" s="12" t="inlineStr">
        <is>
          <t>0002</t>
        </is>
      </c>
      <c r="F18" s="12" t="inlineStr">
        <is>
          <t>0011</t>
        </is>
      </c>
      <c r="G18" s="12" t="n"/>
      <c r="H18" s="14" t="inlineStr">
        <is>
          <t>Gausiya Madarasa to Straight By Road Shri Narendra Meshram them side empty Plot to Shri Manavendra Dongre Of them House to New Buddha Vihar to Yerli Village Adjacent Municipal Council Boundary</t>
        </is>
      </c>
      <c r="I18" s="14" t="inlineStr">
        <is>
          <t>Madarasa to Municipal Council By Road Straight Shri Giradhari Kanamje Of them House to Shri Durgadasa Ragade Of them House side Galli Road ) Up to</t>
        </is>
      </c>
      <c r="J18" s="14" t="inlineStr">
        <is>
          <t>Shri Durgadasa Ragade Of them House side Galli Road ) to near house to Shri Khadase Of them House front of to Shri Ingole Of them House Up to</t>
        </is>
      </c>
      <c r="K18" s="14" t="inlineStr">
        <is>
          <t>Gosiya Madarasa from Shri Narendra Meshram them House side empty Plot</t>
        </is>
      </c>
      <c r="L18" s="15" t="n">
        <v>624</v>
      </c>
      <c r="M18" s="16">
        <f>L18*13/100</f>
        <v/>
      </c>
      <c r="N18" s="16">
        <f>L18+M18</f>
        <v/>
      </c>
      <c r="O18" s="34" t="n"/>
    </row>
    <row r="19" ht="18" customHeight="1" s="30">
      <c r="B19" s="34" t="n"/>
      <c r="C19" s="34" t="n"/>
      <c r="D19" s="34" t="n"/>
      <c r="E19" s="34" t="n"/>
      <c r="F19" s="34" t="n"/>
      <c r="G19" s="34" t="n"/>
      <c r="H19" s="34" t="n"/>
      <c r="I19" s="34" t="n"/>
      <c r="J19" s="34" t="n"/>
      <c r="K19" s="34" t="n"/>
      <c r="L19" s="39">
        <f>SUM(L12:L18)</f>
        <v/>
      </c>
      <c r="M19" s="16">
        <f>L19*13/100</f>
        <v/>
      </c>
      <c r="N19" s="40">
        <f>SUM(N12:N18)</f>
        <v/>
      </c>
      <c r="O19" s="34">
        <f>N19/750</f>
        <v/>
      </c>
    </row>
    <row r="20" ht="15.75" customHeight="1" s="30" thickBot="1">
      <c r="L20" s="60" t="n"/>
      <c r="M20" s="61" t="n"/>
      <c r="N20" s="61" t="n"/>
    </row>
    <row r="21" ht="21" customHeight="1" s="30">
      <c r="B21" s="41" t="n"/>
      <c r="C21" s="42" t="n"/>
      <c r="D21" s="42" t="n"/>
      <c r="E21" s="42" t="n"/>
      <c r="F21" s="42" t="n"/>
      <c r="G21" s="42" t="n"/>
      <c r="H21" s="43" t="inlineStr">
        <is>
          <t>Prabhaga No. 3</t>
        </is>
      </c>
      <c r="I21" s="42" t="n"/>
      <c r="J21" s="42" t="n"/>
      <c r="K21" s="42" t="n"/>
      <c r="L21" s="42" t="n"/>
      <c r="M21" s="42" t="n"/>
      <c r="N21" s="42" t="n"/>
      <c r="O21" s="44" t="n"/>
    </row>
    <row r="22" ht="72" customHeight="1" s="30">
      <c r="A22" t="n">
        <v>15</v>
      </c>
      <c r="B22" s="6" t="n">
        <v>1</v>
      </c>
      <c r="C22" s="37" t="n"/>
      <c r="D22" s="7" t="inlineStr">
        <is>
          <t>Prabhaga No. 3</t>
        </is>
      </c>
      <c r="E22" s="12" t="inlineStr">
        <is>
          <t>0003</t>
        </is>
      </c>
      <c r="F22" s="12" t="inlineStr">
        <is>
          <t>0012</t>
        </is>
      </c>
      <c r="G22" s="12" t="n"/>
      <c r="H22" s="14" t="inlineStr">
        <is>
          <t>Tumasara N. P. Boundary Plot Number No. 318 to 319 Dongarala Nala) ) Shri Ramesh Bhandake Of them House</t>
        </is>
      </c>
      <c r="I22" s="14" t="inlineStr">
        <is>
          <t>Shri Ramesh Bhandake Of them House from to Shri Manish Kanoje Of them House Up to</t>
        </is>
      </c>
      <c r="J22" s="14" t="inlineStr">
        <is>
          <t>Tumasara N. P. Boundary Plot Number No. 319 Dongarala Nala) ) to Navargav Village Adjacent Tumasara Municipal Council Boundary Plot Number No. 338 Up to</t>
        </is>
      </c>
      <c r="K22" s="14" t="inlineStr">
        <is>
          <t>Shri Manish Kanoje Of them House from to Shri Abdula Kanoje Of them House to Shri Barve Of them House to New Buddha Vihar to Tumasara N. P. Boundary Plot Number No. 318 Up to</t>
        </is>
      </c>
      <c r="L22" s="45" t="n">
        <v>834</v>
      </c>
      <c r="M22" s="20">
        <f>L22*13/100</f>
        <v/>
      </c>
      <c r="N22" s="20">
        <f>L22+M22</f>
        <v/>
      </c>
      <c r="O22" s="46" t="n"/>
    </row>
    <row r="23" ht="36" customHeight="1" s="30">
      <c r="A23" t="n">
        <v>16</v>
      </c>
      <c r="B23" s="6" t="n">
        <v>2</v>
      </c>
      <c r="C23" s="37" t="n"/>
      <c r="D23" s="7" t="inlineStr">
        <is>
          <t>Prabhaga No. 2</t>
        </is>
      </c>
      <c r="E23" s="12" t="inlineStr">
        <is>
          <t>0002</t>
        </is>
      </c>
      <c r="F23" s="12" t="inlineStr">
        <is>
          <t>0013</t>
        </is>
      </c>
      <c r="G23" s="12" t="n"/>
      <c r="H23" s="14" t="inlineStr">
        <is>
          <t>Shri Thavare Statue to Shri Cimdhalore Of them House Up to</t>
        </is>
      </c>
      <c r="I23" s="14" t="inlineStr">
        <is>
          <t>Big Bajar Chauk to Shri Gopala Pande Of them House Up to</t>
        </is>
      </c>
      <c r="J23" s="14" t="inlineStr">
        <is>
          <t>Shri Thavare Statue to Shri Gopala Pande Of them House Up to</t>
        </is>
      </c>
      <c r="K23" s="14" t="inlineStr">
        <is>
          <t>Shri Cimdhalore Of them House from to Big Bajar Chauk Up to</t>
        </is>
      </c>
      <c r="L23" s="45" t="n">
        <v>638</v>
      </c>
      <c r="M23" s="20">
        <f>L23*13/100</f>
        <v/>
      </c>
      <c r="N23" s="20">
        <f>L23+M23</f>
        <v/>
      </c>
      <c r="O23" s="46" t="n"/>
    </row>
    <row r="24" ht="36" customHeight="1" s="30">
      <c r="A24" t="n">
        <v>17</v>
      </c>
      <c r="B24" s="6" t="n">
        <v>3</v>
      </c>
      <c r="C24" s="47" t="n"/>
      <c r="D24" s="48" t="inlineStr">
        <is>
          <t>Prabhaga No. 3</t>
        </is>
      </c>
      <c r="E24" s="49" t="inlineStr">
        <is>
          <t>0003</t>
        </is>
      </c>
      <c r="F24" s="12" t="inlineStr">
        <is>
          <t>0014</t>
        </is>
      </c>
      <c r="G24" s="49" t="n"/>
      <c r="H24" s="14" t="inlineStr">
        <is>
          <t>Shri Maladhare Bicycle Shop to Shri Shalik Bhondekar Of them House Up to</t>
        </is>
      </c>
      <c r="I24" s="14" t="inlineStr">
        <is>
          <t>Shri Kalam Kharravale Of them House from to Shri Javed Mamjila Gandhi Chauk Up to</t>
        </is>
      </c>
      <c r="J24" s="14" t="inlineStr">
        <is>
          <t>Shri Shalik Bhondekar Of them from house to Shri Kalam Kharravale Of them House Up to</t>
        </is>
      </c>
      <c r="K24" s="14" t="inlineStr">
        <is>
          <t>Shri Javed Mamjila Gandhi Chauk to Shri Maladhare them Bicycle Shop</t>
        </is>
      </c>
      <c r="L24" s="50" t="n">
        <v>787</v>
      </c>
      <c r="M24" s="20">
        <f>L24*13/100</f>
        <v/>
      </c>
      <c r="N24" s="51">
        <f>L24+M24</f>
        <v/>
      </c>
      <c r="O24" s="46" t="n"/>
    </row>
    <row r="25" ht="54" customHeight="1" s="30">
      <c r="A25" t="n">
        <v>18</v>
      </c>
      <c r="B25" s="6" t="n">
        <v>4</v>
      </c>
      <c r="C25" s="37" t="n">
        <v>4</v>
      </c>
      <c r="D25" s="7" t="inlineStr">
        <is>
          <t>Prabhaga No. 4</t>
        </is>
      </c>
      <c r="E25" s="12" t="inlineStr">
        <is>
          <t>0004</t>
        </is>
      </c>
      <c r="F25" s="12" t="inlineStr">
        <is>
          <t>0015</t>
        </is>
      </c>
      <c r="G25" s="12" t="n"/>
      <c r="H25" s="14" t="inlineStr">
        <is>
          <t>Tumasara N. P. Boundary Plot Number No. 365 to 370 Up to</t>
        </is>
      </c>
      <c r="I25" s="14" t="inlineStr">
        <is>
          <t>Shri Kasiram Katakar Of them House from to Shri Ganesh Gayadhane Of them House Up to</t>
        </is>
      </c>
      <c r="J25" s="14" t="inlineStr">
        <is>
          <t>Tumasara N. P. Boundary Plot Number No. 370 to Shri Hanuman Temple to Shri Ganesh Gayadhane Of them House Up to</t>
        </is>
      </c>
      <c r="K25" s="14" t="inlineStr">
        <is>
          <t>Shri Kasiram Katakar Of them House to Shri Gajanan Sakharavade Of them House to Tumasara N. P. Boundary Plot Number No. 365 Up to</t>
        </is>
      </c>
      <c r="L25" s="45" t="n">
        <v>509</v>
      </c>
      <c r="M25" s="20">
        <f>L25*13/100</f>
        <v/>
      </c>
      <c r="N25" s="20">
        <f>L25+M25</f>
        <v/>
      </c>
      <c r="O25" s="46" t="n"/>
    </row>
    <row r="26" ht="36" customHeight="1" s="30">
      <c r="A26" t="n">
        <v>19</v>
      </c>
      <c r="B26" s="6" t="n">
        <v>5</v>
      </c>
      <c r="C26" s="37" t="n"/>
      <c r="D26" s="7" t="inlineStr">
        <is>
          <t>Prabhaga No. 4</t>
        </is>
      </c>
      <c r="E26" s="12" t="inlineStr">
        <is>
          <t>0004</t>
        </is>
      </c>
      <c r="F26" s="12" t="inlineStr">
        <is>
          <t>0016</t>
        </is>
      </c>
      <c r="G26" s="12" t="n"/>
      <c r="H26" s="13" t="inlineStr">
        <is>
          <t>Tumasara N. P. Boundary Plot Number No. 371 to 375 Up to</t>
        </is>
      </c>
      <c r="I26" s="52" t="inlineStr">
        <is>
          <t>Shri Babananatha Mavade Of them from the house to Shri Tarachand Kamale Of them Gharapamryata to Tumasara N. P. Boundary Plot Number No. 499</t>
        </is>
      </c>
      <c r="J26" s="52" t="inlineStr">
        <is>
          <t>Tumasara N. P. Boundary Plot Number No. 375 to Tumasara N. P. Boundary Plot Number No. 499 Up to</t>
        </is>
      </c>
      <c r="K26" s="52" t="inlineStr">
        <is>
          <t>Shri Babananatha Mavade Of them House from to Tumasara N. P. Boundary Plot Number No. 371</t>
        </is>
      </c>
      <c r="L26" s="53" t="n">
        <v>509</v>
      </c>
      <c r="M26" s="20">
        <f>L26*13/100</f>
        <v/>
      </c>
      <c r="N26" s="54">
        <f>L26+M26</f>
        <v/>
      </c>
      <c r="O26" s="46" t="n"/>
    </row>
    <row r="27" ht="18.75" customHeight="1" s="30" thickBot="1">
      <c r="B27" s="55" t="n"/>
      <c r="C27" s="56" t="n"/>
      <c r="D27" s="56" t="n"/>
      <c r="E27" s="56" t="n"/>
      <c r="F27" s="56" t="n"/>
      <c r="G27" s="56" t="n"/>
      <c r="H27" s="56" t="n"/>
      <c r="I27" s="56" t="n"/>
      <c r="J27" s="56" t="n"/>
      <c r="K27" s="56" t="n"/>
      <c r="L27" s="57">
        <f>SUM(L22:L26)</f>
        <v/>
      </c>
      <c r="M27" s="20">
        <f>L27*13/100</f>
        <v/>
      </c>
      <c r="N27" s="58">
        <f>SUM(N22:N26)</f>
        <v/>
      </c>
      <c r="O27" s="59">
        <f>N27/750</f>
        <v/>
      </c>
    </row>
    <row r="28" ht="15.75" customHeight="1" s="30" thickBot="1">
      <c r="L28" s="60" t="n"/>
      <c r="M28" s="61" t="n"/>
      <c r="N28" s="61" t="n"/>
      <c r="O28" s="103" t="n"/>
    </row>
    <row r="29" ht="21" customHeight="1" s="30">
      <c r="B29" s="41" t="n"/>
      <c r="C29" s="42" t="n"/>
      <c r="D29" s="42" t="n"/>
      <c r="E29" s="42" t="n"/>
      <c r="F29" s="42" t="n"/>
      <c r="G29" s="42" t="n"/>
      <c r="H29" s="43" t="inlineStr">
        <is>
          <t>Prabhaga No. 4</t>
        </is>
      </c>
      <c r="I29" s="42" t="n"/>
      <c r="J29" s="42" t="n"/>
      <c r="K29" s="42" t="n"/>
      <c r="L29" s="42" t="n"/>
      <c r="M29" s="42" t="n"/>
      <c r="N29" s="42" t="n"/>
      <c r="O29" s="44" t="n"/>
    </row>
    <row r="30" ht="54" customHeight="1" s="30">
      <c r="A30" s="36" t="n">
        <v>20</v>
      </c>
      <c r="B30" s="6" t="n">
        <v>1</v>
      </c>
      <c r="C30" s="37" t="n">
        <v>4</v>
      </c>
      <c r="D30" s="7" t="inlineStr">
        <is>
          <t>Prabhaga No. 4</t>
        </is>
      </c>
      <c r="E30" s="12" t="inlineStr">
        <is>
          <t>0004</t>
        </is>
      </c>
      <c r="F30" s="12" t="inlineStr">
        <is>
          <t>0017</t>
        </is>
      </c>
      <c r="G30" s="12" t="n"/>
      <c r="H30" s="14" t="inlineStr">
        <is>
          <t>Shri Bante Kiran Stores to Shri Gangaram Rauta Of them House to N. P. Boundary Plot Number No. 503 Up to</t>
        </is>
      </c>
      <c r="I30" s="63" t="inlineStr">
        <is>
          <t>Shri Hanuman Temple In Front Temple to Shri Bakaram Of them House to Tumasara N. P. Boundary Plot Number No. 526</t>
        </is>
      </c>
      <c r="J30" s="63" t="inlineStr">
        <is>
          <t>Tumasara N. P. Boundary Plot Number No. 503 to 526 Up to</t>
        </is>
      </c>
      <c r="K30" s="63" t="inlineStr">
        <is>
          <t>Shri Bante Kiran Stores to Akhada to Hanuman Temple In Front temple Toka Up to</t>
        </is>
      </c>
      <c r="L30" s="64" t="n">
        <v>758</v>
      </c>
      <c r="M30" s="16">
        <f>L30*13/100</f>
        <v/>
      </c>
      <c r="N30" s="54">
        <f>L30+M30</f>
        <v/>
      </c>
      <c r="O30" s="46" t="n"/>
    </row>
    <row r="31" ht="36" customHeight="1" s="30">
      <c r="A31" s="36" t="n">
        <v>21</v>
      </c>
      <c r="B31" s="65" t="n">
        <v>2</v>
      </c>
      <c r="C31" s="66" t="n"/>
      <c r="D31" s="67" t="inlineStr">
        <is>
          <t>Prabhaga No. 4</t>
        </is>
      </c>
      <c r="E31" s="68" t="inlineStr">
        <is>
          <t>0004</t>
        </is>
      </c>
      <c r="F31" s="12" t="inlineStr">
        <is>
          <t>0018</t>
        </is>
      </c>
      <c r="G31" s="68" t="n"/>
      <c r="H31" s="69" t="inlineStr">
        <is>
          <t>square Kiran Shop to Shri Deshmukh them up to vadi</t>
        </is>
      </c>
      <c r="I31" s="69" t="inlineStr">
        <is>
          <t>Shri Natthu Harade Of them House from to Sai Temple Up to</t>
        </is>
      </c>
      <c r="J31" s="69" t="inlineStr">
        <is>
          <t>Shri Natthu Harade Of them House from to Shri Deshmukh them Vada Up to</t>
        </is>
      </c>
      <c r="K31" s="69" t="inlineStr">
        <is>
          <t>Shri Ravindra Thakura Of them House from to square Kiran Shop</t>
        </is>
      </c>
      <c r="L31" s="70" t="n">
        <v>334</v>
      </c>
      <c r="M31" s="16">
        <f>L31*13/100</f>
        <v/>
      </c>
      <c r="N31" s="71">
        <f>L31+M31</f>
        <v/>
      </c>
      <c r="O31" s="46" t="n"/>
    </row>
    <row r="32" ht="52.5" customHeight="1" s="30">
      <c r="A32" s="36" t="n">
        <v>22</v>
      </c>
      <c r="B32" s="6" t="n">
        <v>3</v>
      </c>
      <c r="C32" s="37" t="n"/>
      <c r="D32" s="7" t="inlineStr">
        <is>
          <t>Prabhaga No. 16</t>
        </is>
      </c>
      <c r="E32" s="12" t="inlineStr">
        <is>
          <t>0016</t>
        </is>
      </c>
      <c r="F32" s="12" t="inlineStr">
        <is>
          <t>0046</t>
        </is>
      </c>
      <c r="G32" s="12" t="n"/>
      <c r="H32" s="14" t="inlineStr">
        <is>
          <t>Ciztiya Mamjila to to Mrs. Lata V Zemde Of them Apsara Beauty Parlor to Hanuman Temple Up to</t>
        </is>
      </c>
      <c r="I32" s="14" t="inlineStr">
        <is>
          <t>N. P. Boundary Plot Number N. 758 to Shri Shiv Temple to Straight By Road Shri Atul Badavaika Of them House to Paramatma Ek Sevak Samaj Temple to Shri Nagapure Residence to Shri Ganesh Bamane Of them House to Shri Pradip Bavanakar Of them House Up to</t>
        </is>
      </c>
      <c r="J32" s="14" t="inlineStr">
        <is>
          <t>Mrs. Lata V Zemde Of them Beauty Parlor to Straight N. P. By Road Shri Mehatabasing Thakura Of them House to Hanuman Temple Up to</t>
        </is>
      </c>
      <c r="K32" s="14" t="inlineStr">
        <is>
          <t>Shri Nagapure Residence to Shri Ganesh Bamane Of them House to Shri Pradip Bavanakar Of them House to Ciztiya Mamjila Up to</t>
        </is>
      </c>
      <c r="L32" s="15" t="n">
        <v>628</v>
      </c>
      <c r="M32" s="16">
        <f>L32*13/100</f>
        <v/>
      </c>
      <c r="N32" s="16">
        <f>L32+M32</f>
        <v/>
      </c>
      <c r="O32" s="72" t="n"/>
    </row>
    <row r="33" ht="36" customHeight="1" s="30">
      <c r="A33" s="36" t="n">
        <v>23</v>
      </c>
      <c r="B33" s="6" t="n">
        <v>4</v>
      </c>
      <c r="C33" s="37" t="n"/>
      <c r="D33" s="7" t="inlineStr">
        <is>
          <t>Prabhaga No. 5</t>
        </is>
      </c>
      <c r="E33" s="12" t="inlineStr">
        <is>
          <t>0005</t>
        </is>
      </c>
      <c r="F33" s="12" t="inlineStr">
        <is>
          <t>0020</t>
        </is>
      </c>
      <c r="G33" s="12" t="n"/>
      <c r="H33" s="14" t="inlineStr">
        <is>
          <t>Municipal Council Malaviya School to Shri Dhoke Of them House Up to</t>
        </is>
      </c>
      <c r="I33" s="14" t="inlineStr">
        <is>
          <t>Shri Gaure Of them House from to Shri Dhomane Painter Of them House Up to</t>
        </is>
      </c>
      <c r="J33" s="14" t="inlineStr">
        <is>
          <t>Shri Gaure Of them House from to Shri Dhoke Of them House Up to</t>
        </is>
      </c>
      <c r="K33" s="14" t="inlineStr">
        <is>
          <t>Shri Dhomane Painter Of them House from to Municipal Council Malaviya School Up to</t>
        </is>
      </c>
      <c r="L33" s="15" t="n">
        <v>541</v>
      </c>
      <c r="M33" s="16">
        <f>L33*13/100</f>
        <v/>
      </c>
      <c r="N33" s="16">
        <f>L33+M33</f>
        <v/>
      </c>
      <c r="O33" s="46" t="n"/>
    </row>
    <row r="34" ht="36" customHeight="1" s="30">
      <c r="A34" s="36" t="n">
        <v>24</v>
      </c>
      <c r="B34" s="65" t="n">
        <v>5</v>
      </c>
      <c r="C34" s="66" t="n"/>
      <c r="D34" s="67" t="inlineStr">
        <is>
          <t>Prabhaga No. 5</t>
        </is>
      </c>
      <c r="E34" s="68" t="inlineStr">
        <is>
          <t>0005</t>
        </is>
      </c>
      <c r="F34" s="68" t="inlineStr">
        <is>
          <t>0021</t>
        </is>
      </c>
      <c r="G34" s="68" t="n"/>
      <c r="H34" s="69" t="inlineStr">
        <is>
          <t>Shri Dineshnarayan Tivari Of them House from to Shri Pradip Bhure Of them House Up to</t>
        </is>
      </c>
      <c r="I34" s="69" t="inlineStr">
        <is>
          <t>Shri Hanuman Temple to Shri Vithal Gabhane Of them House Up to</t>
        </is>
      </c>
      <c r="J34" s="69" t="inlineStr">
        <is>
          <t>Shri Hanuman Temple to Shri Pradip Bhure Of them House Up to</t>
        </is>
      </c>
      <c r="K34" s="69" t="inlineStr">
        <is>
          <t>Shri Vithal Gabhane Of them from house to Shri Dinesh Narayana Tivari Of them House Up to</t>
        </is>
      </c>
      <c r="L34" s="70" t="n">
        <v>465</v>
      </c>
      <c r="M34" s="71">
        <f>L34*13/100</f>
        <v/>
      </c>
      <c r="N34" s="71">
        <f>L34+M34</f>
        <v/>
      </c>
      <c r="O34" s="73" t="n"/>
      <c r="P34" s="74" t="n"/>
      <c r="Q34" s="74" t="n"/>
    </row>
    <row r="35" ht="18.75" customHeight="1" s="30" thickBot="1">
      <c r="B35" s="55" t="n"/>
      <c r="C35" s="56" t="n"/>
      <c r="D35" s="56" t="n"/>
      <c r="E35" s="56" t="n"/>
      <c r="F35" s="56" t="n"/>
      <c r="G35" s="56" t="n"/>
      <c r="H35" s="56" t="n"/>
      <c r="I35" s="56" t="n"/>
      <c r="J35" s="56" t="n"/>
      <c r="K35" s="56" t="n"/>
      <c r="L35" s="75">
        <f>SUM(L30:L34)</f>
        <v/>
      </c>
      <c r="M35" s="16">
        <f>L35*13/100</f>
        <v/>
      </c>
      <c r="N35" s="76">
        <f>SUM(N30:N34)</f>
        <v/>
      </c>
      <c r="O35" s="77">
        <f>N35/750</f>
        <v/>
      </c>
    </row>
    <row r="36">
      <c r="B36" s="78" t="n"/>
      <c r="C36" s="79" t="n"/>
      <c r="D36" s="79" t="n"/>
      <c r="E36" s="79" t="n"/>
      <c r="F36" s="79" t="n"/>
      <c r="G36" s="79" t="n"/>
      <c r="H36" s="79" t="n"/>
      <c r="I36" s="79" t="n"/>
      <c r="J36" s="79" t="n"/>
      <c r="K36" s="79" t="n"/>
      <c r="L36" s="80" t="n"/>
      <c r="M36" s="81" t="n"/>
      <c r="N36" s="81" t="n"/>
      <c r="O36" s="82" t="n"/>
    </row>
    <row r="37" ht="21" customHeight="1" s="30">
      <c r="B37" s="83" t="n"/>
      <c r="C37" s="79" t="n"/>
      <c r="D37" s="79" t="n"/>
      <c r="E37" s="79" t="n"/>
      <c r="F37" s="79" t="n"/>
      <c r="G37" s="79" t="n"/>
      <c r="H37" s="84" t="inlineStr">
        <is>
          <t>Prabhaga No. 5</t>
        </is>
      </c>
      <c r="I37" s="79" t="n"/>
      <c r="J37" s="79" t="n"/>
      <c r="K37" s="79" t="n"/>
      <c r="L37" s="79" t="n"/>
      <c r="M37" s="79" t="n"/>
      <c r="N37" s="79" t="n"/>
      <c r="O37" s="85" t="n"/>
    </row>
    <row r="38" ht="36" customHeight="1" s="30">
      <c r="A38" s="36" t="n">
        <v>25</v>
      </c>
      <c r="B38" s="6" t="n">
        <v>1</v>
      </c>
      <c r="C38" s="37" t="n">
        <v>5</v>
      </c>
      <c r="D38" s="7" t="inlineStr">
        <is>
          <t>Prabhaga No. 6</t>
        </is>
      </c>
      <c r="E38" s="12" t="inlineStr">
        <is>
          <t>0006</t>
        </is>
      </c>
      <c r="F38" s="12" t="inlineStr">
        <is>
          <t>0022</t>
        </is>
      </c>
      <c r="G38" s="12" t="n"/>
      <c r="H38" s="14" t="inlineStr">
        <is>
          <t>Shri Cimdhalore Thekedara Of them from house to Shri Dhoke Of them House Up to ( Ma Gandhi Statue )</t>
        </is>
      </c>
      <c r="I38" s="14" t="inlineStr">
        <is>
          <t>Kumbhara Akhada to Subhash Chauk near old Vighuta Office Up to</t>
        </is>
      </c>
      <c r="J38" s="14" t="inlineStr">
        <is>
          <t>Ma Gandhi Statue to Kumbhara Akhada Up to</t>
        </is>
      </c>
      <c r="K38" s="14" t="inlineStr">
        <is>
          <t>Shri Cimdhalore Thekedara Of them from house to old Vighuta Office Up to</t>
        </is>
      </c>
      <c r="L38" s="15" t="n">
        <v>446</v>
      </c>
      <c r="M38" s="16">
        <f>L38*13/100</f>
        <v/>
      </c>
      <c r="N38" s="16">
        <f>L38+M38</f>
        <v/>
      </c>
      <c r="O38" s="46" t="n"/>
    </row>
    <row r="39" ht="36" customHeight="1" s="30">
      <c r="A39" s="36" t="n">
        <v>26</v>
      </c>
      <c r="B39" s="6" t="n">
        <v>2</v>
      </c>
      <c r="C39" s="37" t="n"/>
      <c r="D39" s="7" t="inlineStr">
        <is>
          <t>Prabhaga No. 6</t>
        </is>
      </c>
      <c r="E39" s="12" t="inlineStr">
        <is>
          <t>0006</t>
        </is>
      </c>
      <c r="F39" s="12" t="inlineStr">
        <is>
          <t>0023</t>
        </is>
      </c>
      <c r="G39" s="12" t="n"/>
      <c r="H39" s="14" t="inlineStr">
        <is>
          <t>Shri Doiphode Of them House from to Hanuman Temple Up to</t>
        </is>
      </c>
      <c r="I39" s="14" t="inlineStr">
        <is>
          <t>Municipal Council Mukhyaadhikari Of them empty Kvartata to Shri Tibude Of them House Up to</t>
        </is>
      </c>
      <c r="J39" s="14" t="inlineStr">
        <is>
          <t>Municipal Council Mukhyaadhikari Of them empty Kvartata to Shri Hanuman Temple Up to</t>
        </is>
      </c>
      <c r="K39" s="14" t="inlineStr">
        <is>
          <t>Shri Tibude Of them House from to Shri Doiphode Of them Gharapamryata</t>
        </is>
      </c>
      <c r="L39" s="15" t="n">
        <v>678</v>
      </c>
      <c r="M39" s="16">
        <f>L39*13/100</f>
        <v/>
      </c>
      <c r="N39" s="16">
        <f>L39+M39</f>
        <v/>
      </c>
      <c r="O39" s="46" t="n"/>
    </row>
    <row r="40" ht="36" customHeight="1" s="30">
      <c r="A40" s="36" t="n">
        <v>27</v>
      </c>
      <c r="B40" s="6" t="n">
        <v>3</v>
      </c>
      <c r="C40" s="37" t="n"/>
      <c r="D40" s="7" t="inlineStr">
        <is>
          <t>Prabhaga No. 6</t>
        </is>
      </c>
      <c r="E40" s="12" t="inlineStr">
        <is>
          <t>0006</t>
        </is>
      </c>
      <c r="F40" s="12" t="inlineStr">
        <is>
          <t>0024</t>
        </is>
      </c>
      <c r="G40" s="12" t="n"/>
      <c r="H40" s="14" t="inlineStr">
        <is>
          <t>Shri Malevara Aata Chakki to Shri Sudhir Channe Of them House Up to</t>
        </is>
      </c>
      <c r="I40" s="14" t="inlineStr">
        <is>
          <t>Shri Purushottam Giri Of them House</t>
        </is>
      </c>
      <c r="J40" s="14" t="inlineStr">
        <is>
          <t>Shri Purushottam Giri Of them House to Shri Sudhir Channe Of them House Up to</t>
        </is>
      </c>
      <c r="K40" s="14" t="inlineStr">
        <is>
          <t>Shri Purushottam Giri Of them House to Shri Malevara them Aata Chakki Up to</t>
        </is>
      </c>
      <c r="L40" s="15" t="n">
        <v>469</v>
      </c>
      <c r="M40" s="16">
        <f>L40*13/100</f>
        <v/>
      </c>
      <c r="N40" s="16">
        <f>L40+M40</f>
        <v/>
      </c>
      <c r="O40" s="46" t="n"/>
    </row>
    <row r="41" ht="36" customHeight="1" s="30">
      <c r="A41" s="36" t="n">
        <v>28</v>
      </c>
      <c r="B41" s="6" t="n">
        <v>4</v>
      </c>
      <c r="C41" s="37" t="n"/>
      <c r="D41" s="7" t="inlineStr">
        <is>
          <t>Prabhaga No. 8</t>
        </is>
      </c>
      <c r="E41" s="12" t="inlineStr">
        <is>
          <t>0008</t>
        </is>
      </c>
      <c r="F41" s="12" t="inlineStr">
        <is>
          <t>0025</t>
        </is>
      </c>
      <c r="G41" s="12" t="n"/>
      <c r="H41" s="14" t="inlineStr">
        <is>
          <t>Shri Kumbhare Savarkar to Shri Sheikh Of them House Up to</t>
        </is>
      </c>
      <c r="I41" s="14" t="inlineStr">
        <is>
          <t>Shri Hanuman Temple to Shri Malevara Of them House Up to</t>
        </is>
      </c>
      <c r="J41" s="14" t="inlineStr">
        <is>
          <t>Shri Hanuman Temple to Shri Cimdhalore Of them House Up to</t>
        </is>
      </c>
      <c r="K41" s="14" t="inlineStr">
        <is>
          <t>Shri Malevara Of them House from to Shri Kumbhare Savarkar Of them House Up to</t>
        </is>
      </c>
      <c r="L41" s="15" t="n">
        <v>764</v>
      </c>
      <c r="M41" s="16">
        <f>L41*13/100</f>
        <v/>
      </c>
      <c r="N41" s="20">
        <f>L41+M41</f>
        <v/>
      </c>
      <c r="O41" s="46" t="n"/>
    </row>
    <row r="42" ht="36" customHeight="1" s="30">
      <c r="A42" s="36" t="n">
        <v>29</v>
      </c>
      <c r="B42" s="6" t="n">
        <v>5</v>
      </c>
      <c r="C42" s="37" t="n"/>
      <c r="D42" s="7" t="inlineStr">
        <is>
          <t>Prabhaga No. 8</t>
        </is>
      </c>
      <c r="E42" s="12" t="inlineStr">
        <is>
          <t>0008</t>
        </is>
      </c>
      <c r="F42" s="12" t="inlineStr">
        <is>
          <t>0026</t>
        </is>
      </c>
      <c r="G42" s="12" t="n"/>
      <c r="H42" s="14" t="inlineStr">
        <is>
          <t>Shri Vilas Deshmukh Of them House from to Shri Meshram Of them Gharapamryata</t>
        </is>
      </c>
      <c r="I42" s="14" t="inlineStr">
        <is>
          <t>Shri Vakarkar Of them House from to Shri Patil Of them House Up to</t>
        </is>
      </c>
      <c r="J42" s="14" t="inlineStr">
        <is>
          <t>Shri Vilas Deshmukh Of them House from to Shri Patil Of them Gharapamryata</t>
        </is>
      </c>
      <c r="K42" s="14" t="inlineStr">
        <is>
          <t>Shri Patil Of them House from to Shri Meshram Of them House Up to</t>
        </is>
      </c>
      <c r="L42" s="15" t="n">
        <v>571</v>
      </c>
      <c r="M42" s="16">
        <f>L42*13/100</f>
        <v/>
      </c>
      <c r="N42" s="16">
        <f>L42+M42</f>
        <v/>
      </c>
      <c r="O42" s="46" t="n"/>
    </row>
    <row r="43" ht="36.75" customHeight="1" s="30" thickBot="1">
      <c r="A43" s="36" t="n">
        <v>30</v>
      </c>
      <c r="B43" s="7" t="n">
        <v>36</v>
      </c>
      <c r="C43" s="86" t="n">
        <v>42</v>
      </c>
      <c r="D43" s="7" t="inlineStr">
        <is>
          <t>Prabhaga No. 14</t>
        </is>
      </c>
      <c r="E43" s="12" t="inlineStr">
        <is>
          <t>0014</t>
        </is>
      </c>
      <c r="F43" s="12" t="inlineStr">
        <is>
          <t>0042</t>
        </is>
      </c>
      <c r="G43" s="12" t="n"/>
      <c r="H43" s="14" t="inlineStr">
        <is>
          <t>Shri Bavanakar them Aata Chakki to Shri Yerane Photo Studiyo Up to</t>
        </is>
      </c>
      <c r="I43" s="14" t="inlineStr">
        <is>
          <t>Shri Dhurve Of them House from to Shri Dr. Bagade Of them Clinic Up to</t>
        </is>
      </c>
      <c r="J43" s="14" t="inlineStr">
        <is>
          <t>Shri Yerane Photo Studiyo</t>
        </is>
      </c>
      <c r="K43" s="14" t="inlineStr">
        <is>
          <t>Shri Bavanakar them Aata Chakki to Shri Dr. Bagade Of them Clinic Up to</t>
        </is>
      </c>
      <c r="L43" s="15" t="n">
        <v>505</v>
      </c>
      <c r="M43" s="16">
        <f>L43*13/100</f>
        <v/>
      </c>
      <c r="N43" s="16">
        <f>L43+M43</f>
        <v/>
      </c>
      <c r="O43" s="77" t="n"/>
    </row>
    <row r="44">
      <c r="B44" s="87" t="n"/>
      <c r="C44" s="88" t="n"/>
      <c r="D44" s="88" t="n"/>
      <c r="E44" s="88" t="n"/>
      <c r="F44" s="88" t="n"/>
      <c r="G44" s="88" t="n"/>
      <c r="H44" s="88" t="n"/>
      <c r="I44" s="88" t="n"/>
      <c r="J44" s="88" t="n"/>
      <c r="K44" s="88" t="n"/>
      <c r="L44" s="89">
        <f>SUM(L38:L43)</f>
        <v/>
      </c>
      <c r="M44" s="90">
        <f>SUM(M38:M43)</f>
        <v/>
      </c>
      <c r="N44" s="90">
        <f>SUM(N38:N43)</f>
        <v/>
      </c>
      <c r="O44" s="91">
        <f>N44/750</f>
        <v/>
      </c>
    </row>
    <row r="45" ht="21" customHeight="1" s="30">
      <c r="B45" s="79" t="n"/>
      <c r="C45" s="79" t="n"/>
      <c r="D45" s="79" t="n"/>
      <c r="E45" s="79" t="n"/>
      <c r="F45" s="79" t="n"/>
      <c r="G45" s="79" t="n"/>
      <c r="H45" s="84" t="inlineStr">
        <is>
          <t>Prabhaga No. 6</t>
        </is>
      </c>
      <c r="I45" s="79" t="n"/>
      <c r="J45" s="79" t="n"/>
      <c r="K45" s="79" t="n"/>
      <c r="L45" s="79" t="n"/>
      <c r="M45" s="79" t="n"/>
      <c r="N45" s="79" t="n"/>
      <c r="O45" s="79" t="n"/>
    </row>
    <row r="46" ht="36" customHeight="1" s="30">
      <c r="A46" s="36" t="n">
        <v>31</v>
      </c>
      <c r="B46" s="7" t="n">
        <v>1</v>
      </c>
      <c r="C46" s="37" t="n">
        <v>6</v>
      </c>
      <c r="D46" s="7" t="inlineStr">
        <is>
          <t>Prabhaga No. 8</t>
        </is>
      </c>
      <c r="E46" s="12" t="inlineStr">
        <is>
          <t>0009</t>
        </is>
      </c>
      <c r="F46" s="12" t="inlineStr">
        <is>
          <t>0027</t>
        </is>
      </c>
      <c r="G46" s="12" t="n"/>
      <c r="H46" s="14" t="inlineStr">
        <is>
          <t>Municipal Council Gandhi Primary School to Shri Sanjay Bisane Of them House Up to</t>
        </is>
      </c>
      <c r="I46" s="14" t="inlineStr">
        <is>
          <t>Shri Nagamandir to Municipal Council Gandhi Primary School to Hutatma Smarak Up to</t>
        </is>
      </c>
      <c r="J46" s="14" t="inlineStr">
        <is>
          <t>Shri Sanjay Bisane Of them House from to Shri Nagamandir Up to</t>
        </is>
      </c>
      <c r="K46" s="14" t="inlineStr">
        <is>
          <t>Municipal Council Gandhi Primary School to Hutatma Smarak Up to</t>
        </is>
      </c>
      <c r="L46" s="15" t="n">
        <v>660</v>
      </c>
      <c r="M46" s="16">
        <f>L46*13/100</f>
        <v/>
      </c>
      <c r="N46" s="16">
        <f>L46+M46</f>
        <v/>
      </c>
      <c r="O46" s="34" t="n"/>
    </row>
    <row r="47" ht="72" customHeight="1" s="30">
      <c r="A47" s="36" t="n">
        <v>32</v>
      </c>
      <c r="B47" s="7" t="n">
        <v>2</v>
      </c>
      <c r="C47" s="37" t="n"/>
      <c r="D47" s="7" t="inlineStr">
        <is>
          <t>Prabhaga No. 10</t>
        </is>
      </c>
      <c r="E47" s="12" t="inlineStr">
        <is>
          <t>0010</t>
        </is>
      </c>
      <c r="F47" s="12" t="inlineStr">
        <is>
          <t>0028</t>
        </is>
      </c>
      <c r="G47" s="12" t="n"/>
      <c r="H47" s="14" t="inlineStr">
        <is>
          <t>Shri Dattatraya Mandir to Shri Meshram Of them House Up to</t>
        </is>
      </c>
      <c r="I47" s="14" t="inlineStr">
        <is>
          <t>Shri Badavaika Of them House from to Shri Dube Of them front of the house Road Across Nehru Graumda pond Up to</t>
        </is>
      </c>
      <c r="J47" s="14" t="inlineStr">
        <is>
          <t>Shri Dattatraya Mandir to Shri Badavaika Of them House Up to</t>
        </is>
      </c>
      <c r="K47" s="14" t="inlineStr">
        <is>
          <t>Shri Meshram Of them House from to Hanuman Temple to N.P. Gandhi Sagara pond to Shri Dube Of them front of the house Road Across Nehru Graumda pond Up to</t>
        </is>
      </c>
      <c r="L47" s="15" t="n">
        <v>709</v>
      </c>
      <c r="M47" s="16">
        <f>L47*13/100</f>
        <v/>
      </c>
      <c r="N47" s="16">
        <f>L47+M47</f>
        <v/>
      </c>
      <c r="O47" s="34" t="n"/>
    </row>
    <row r="48" ht="108" customHeight="1" s="30">
      <c r="A48" s="36" t="n">
        <v>33</v>
      </c>
      <c r="B48" s="7" t="n">
        <v>3</v>
      </c>
      <c r="C48" s="37" t="n"/>
      <c r="D48" s="7" t="inlineStr">
        <is>
          <t>Prabhaga No. 1</t>
        </is>
      </c>
      <c r="E48" s="12" t="inlineStr">
        <is>
          <t>0001</t>
        </is>
      </c>
      <c r="F48" s="12" t="inlineStr">
        <is>
          <t>0001</t>
        </is>
      </c>
      <c r="G48" s="12" t="n"/>
      <c r="H48" s="14" t="inlineStr">
        <is>
          <t>Tumasara Mehagamva Sima Adjacent Plot Number No. 1468 to Maharasta Vighuta Office to old N. P. Makade of the school corner Up to</t>
        </is>
      </c>
      <c r="I48" s="92" t="inlineStr">
        <is>
          <t>Tumasara Hasara Sima Adjacent 1455 to Plot Number No. 1454 to Straight Bayapas By Road Road Across Road near near empty Plot to Penti Costal Church to Straight By Road S N Mor College back side Road to friends Union Club Up to</t>
        </is>
      </c>
      <c r="J48" s="14" t="inlineStr">
        <is>
          <t>Friends Union Club to Straight old N. P. Makade of the school of corner to Straight Friends Union Club to S N Mor College to Up to Municipal Council By Road Straight Bayapas Road Across Adivasi daughter's hostel to Plot Number No. 1454 Up to</t>
        </is>
      </c>
      <c r="K48" s="14" t="inlineStr">
        <is>
          <t>Tumasara Mehagamva Sima Adjacent Plot Number No. 1468 to Tumsar Hasara Sima Adjacent Plot Number No. 1455 Up to</t>
        </is>
      </c>
      <c r="L48" s="15" t="n">
        <v>550</v>
      </c>
      <c r="M48" s="16">
        <f>L48*13/100</f>
        <v/>
      </c>
      <c r="N48" s="16">
        <f>L48+M48</f>
        <v/>
      </c>
      <c r="O48" s="34" t="n"/>
    </row>
    <row r="49" ht="72" customHeight="1" s="30">
      <c r="A49" s="36" t="n">
        <v>34</v>
      </c>
      <c r="B49" s="7" t="n">
        <v>4</v>
      </c>
      <c r="C49" s="37" t="n"/>
      <c r="D49" s="7" t="inlineStr">
        <is>
          <t>Prabhaga No. 12</t>
        </is>
      </c>
      <c r="E49" s="12" t="inlineStr">
        <is>
          <t>0012</t>
        </is>
      </c>
      <c r="F49" s="12" t="inlineStr">
        <is>
          <t>0037</t>
        </is>
      </c>
      <c r="G49" s="12" t="n"/>
      <c r="H49" s="14" t="inlineStr">
        <is>
          <t>Shri Kamal Sakharakar Of them House from to Rashtriya School to Shri Giradakar Of them House to Mrs. Shila Bavanakar Of them House to empty Plot Up to</t>
        </is>
      </c>
      <c r="I49" s="14" t="inlineStr">
        <is>
          <t>Shreyashi Nursing School to Shri Devarav Sanekar Of them House to Utkarsh Finance Company to Sha. Industrial training center Up to</t>
        </is>
      </c>
      <c r="J49" s="14" t="inlineStr">
        <is>
          <t>Shri Kamal Sakharakar Of them House to Shreyashi Nursing School Up to</t>
        </is>
      </c>
      <c r="K49" s="14" t="inlineStr">
        <is>
          <t>Sha. Industrial training center to empty Plot to Mrs. Shila Bavanakar Of them House Up to</t>
        </is>
      </c>
      <c r="L49" s="15" t="n">
        <v>526</v>
      </c>
      <c r="M49" s="16">
        <f>L49*13/100</f>
        <v/>
      </c>
      <c r="N49" s="16">
        <f>L49+M49</f>
        <v/>
      </c>
      <c r="O49" s="34" t="n"/>
    </row>
    <row r="50" ht="36" customHeight="1" s="30">
      <c r="A50" s="36" t="n">
        <v>35</v>
      </c>
      <c r="B50" s="7" t="n">
        <v>5</v>
      </c>
      <c r="C50" s="37" t="n"/>
      <c r="D50" s="7" t="inlineStr">
        <is>
          <t>Prabhaga No. 11</t>
        </is>
      </c>
      <c r="E50" s="12" t="inlineStr">
        <is>
          <t>0011</t>
        </is>
      </c>
      <c r="F50" s="12" t="inlineStr">
        <is>
          <t>0033</t>
        </is>
      </c>
      <c r="G50" s="12" t="n"/>
      <c r="H50" s="14" t="inlineStr">
        <is>
          <t>old Talathi Office to Straight S N Mor College Road to Shri Tibude Of them House Up to</t>
        </is>
      </c>
      <c r="I50" s="14" t="inlineStr">
        <is>
          <t>Shri Gangadhar Karemore Of them from house to Straight N.P. By Road Shri Ambika Shaw Mil Up to</t>
        </is>
      </c>
      <c r="J50" s="14" t="inlineStr">
        <is>
          <t>Shri Tibude Of them House to Straight Tehsil By Road Shri Gangadhar Karemore Of them House percent</t>
        </is>
      </c>
      <c r="K50" s="14" t="inlineStr">
        <is>
          <t>old Talathi Office to Straight N.P. By Road Shri Ambika Shaw Mil Up to</t>
        </is>
      </c>
      <c r="L50" s="45" t="n">
        <v>730</v>
      </c>
      <c r="M50" s="16">
        <f>L50*13/100</f>
        <v/>
      </c>
      <c r="N50" s="20">
        <f>L50+M50</f>
        <v/>
      </c>
      <c r="O50" s="34" t="n"/>
    </row>
    <row r="51" ht="54" customHeight="1" s="30">
      <c r="A51" s="36" t="n">
        <v>36</v>
      </c>
      <c r="B51" s="7" t="n">
        <v>6</v>
      </c>
      <c r="C51" s="37" t="n"/>
      <c r="D51" s="7" t="inlineStr">
        <is>
          <t>Prabhaga No. 12</t>
        </is>
      </c>
      <c r="E51" s="12" t="inlineStr">
        <is>
          <t>0012</t>
        </is>
      </c>
      <c r="F51" s="12" t="inlineStr">
        <is>
          <t>0036</t>
        </is>
      </c>
      <c r="G51" s="12" t="n"/>
      <c r="H51" s="14" t="inlineStr">
        <is>
          <t>Shri Gade Tailors Of them House from to Shri Dhurve Shaw Mil to Shri Dube Of them House to Rashtriya School Adjacent Shri Prakash Patharabe Of them House Up to</t>
        </is>
      </c>
      <c r="I51" s="14" t="inlineStr">
        <is>
          <t>Shri Sudip Thakura Of them House to Shri Meshram Of them House to Shri Radheshyam Malevara Of them Gharapamryata</t>
        </is>
      </c>
      <c r="J51" s="14" t="inlineStr">
        <is>
          <t>Shri Sudip Thakura Of them House from to Shri Gade Tailors Of them House Up to</t>
        </is>
      </c>
      <c r="K51" s="14" t="inlineStr">
        <is>
          <t>Rashtriya School Adjacent Shri Prakash Patharabe Of them House from to Shri Radheshyam Malevara Of them Gharapamryata</t>
        </is>
      </c>
      <c r="L51" s="45" t="n">
        <v>695</v>
      </c>
      <c r="M51" s="16">
        <f>L51*13/100</f>
        <v/>
      </c>
      <c r="N51" s="20">
        <f>L51+M51</f>
        <v/>
      </c>
      <c r="O51" s="34" t="n"/>
    </row>
    <row r="52" ht="18" customHeight="1" s="30">
      <c r="A52" s="36" t="n">
        <v>37</v>
      </c>
      <c r="B52" s="34" t="n"/>
      <c r="C52" s="34" t="n"/>
      <c r="D52" s="34" t="n"/>
      <c r="E52" s="34" t="n"/>
      <c r="F52" s="34" t="n"/>
      <c r="G52" s="34" t="n"/>
      <c r="H52" s="34" t="n"/>
      <c r="I52" s="34" t="n"/>
      <c r="J52" s="34" t="n"/>
      <c r="K52" s="34" t="n"/>
      <c r="L52" s="39">
        <f>SUM(L46:L50)</f>
        <v/>
      </c>
      <c r="M52" s="20">
        <f>L52*13/100</f>
        <v/>
      </c>
      <c r="N52" s="40">
        <f>SUM(N46:N50)</f>
        <v/>
      </c>
      <c r="O52" s="93">
        <f>N52/750</f>
        <v/>
      </c>
    </row>
    <row r="53" ht="21" customHeight="1" s="30">
      <c r="A53" s="36" t="n">
        <v>38</v>
      </c>
      <c r="B53" s="83" t="n"/>
      <c r="C53" s="79" t="n"/>
      <c r="D53" s="79" t="n"/>
      <c r="E53" s="79" t="n"/>
      <c r="F53" s="79" t="n"/>
      <c r="G53" s="79" t="n"/>
      <c r="H53" s="84" t="inlineStr">
        <is>
          <t>Prabhaga No. 7</t>
        </is>
      </c>
      <c r="I53" s="79" t="n"/>
      <c r="J53" s="79" t="n"/>
      <c r="K53" s="79" t="n"/>
      <c r="L53" s="79" t="n"/>
      <c r="M53" s="79" t="n"/>
      <c r="N53" s="79" t="n"/>
      <c r="O53" s="85" t="n"/>
    </row>
    <row r="54" ht="18" customHeight="1" s="30">
      <c r="A54" s="36" t="n"/>
      <c r="B54" s="6" t="n"/>
      <c r="C54" s="37" t="n"/>
      <c r="D54" s="7" t="n"/>
      <c r="E54" s="12" t="n"/>
      <c r="F54" s="12" t="n"/>
      <c r="G54" s="12" t="n"/>
      <c r="H54" s="14" t="n"/>
      <c r="I54" s="14" t="n"/>
      <c r="J54" s="14" t="n"/>
      <c r="K54" s="14" t="n"/>
      <c r="L54" s="45" t="n"/>
      <c r="M54" s="20" t="n"/>
      <c r="N54" s="20" t="n"/>
      <c r="O54" s="46" t="n"/>
    </row>
    <row r="55" ht="36" customHeight="1" s="30">
      <c r="A55" s="36" t="n">
        <v>39</v>
      </c>
      <c r="B55" s="6" t="n">
        <v>1</v>
      </c>
      <c r="C55" s="37" t="n">
        <v>7</v>
      </c>
      <c r="D55" s="7" t="inlineStr">
        <is>
          <t>Prabhaga No. 11</t>
        </is>
      </c>
      <c r="E55" s="12" t="inlineStr">
        <is>
          <t>0011</t>
        </is>
      </c>
      <c r="F55" s="12" t="inlineStr">
        <is>
          <t>0034</t>
        </is>
      </c>
      <c r="G55" s="12" t="n"/>
      <c r="H55" s="14" t="inlineStr">
        <is>
          <t>Shri Shankar ravaji Karemore Of them House to Shri Harish Karemore Of them House Up to</t>
        </is>
      </c>
      <c r="I55" s="14" t="inlineStr">
        <is>
          <t>Shri Babu Padole Of them House to Shri Kshirsagar Of them of the house corner Up to</t>
        </is>
      </c>
      <c r="J55" s="14" t="inlineStr">
        <is>
          <t>Shri Shankar ravaji Karemore Of them House to Shri Babu Padole Of them House Up to</t>
        </is>
      </c>
      <c r="K55" s="14" t="inlineStr">
        <is>
          <t>Shri Harish Karemore Of them House to Shri Kshirsagar Of them of the house corner Up to</t>
        </is>
      </c>
      <c r="L55" s="45" t="n">
        <v>629</v>
      </c>
      <c r="M55" s="20">
        <f>L55*13/100</f>
        <v/>
      </c>
      <c r="N55" s="20">
        <f>L55+M55</f>
        <v/>
      </c>
      <c r="O55" s="46" t="n"/>
    </row>
    <row r="56" ht="36" customHeight="1" s="30">
      <c r="A56" s="36" t="n">
        <v>40</v>
      </c>
      <c r="B56" s="6" t="n">
        <v>2</v>
      </c>
      <c r="C56" s="37" t="n"/>
      <c r="D56" s="7" t="inlineStr">
        <is>
          <t>Prabhaga No. 11</t>
        </is>
      </c>
      <c r="E56" s="12" t="inlineStr">
        <is>
          <t>0011</t>
        </is>
      </c>
      <c r="F56" s="12" t="inlineStr">
        <is>
          <t>0035</t>
        </is>
      </c>
      <c r="G56" s="12" t="n"/>
      <c r="H56" s="14" t="inlineStr">
        <is>
          <t>Shri Kalavati Borasare Of them House from to Shri Ramu Dhoke Of them House Up to</t>
        </is>
      </c>
      <c r="I56" s="14" t="inlineStr">
        <is>
          <t>Shri Sunila Lamjevara Of them House from to Shri Balakrsna Hatavara Of them Gharapamryata</t>
        </is>
      </c>
      <c r="J56" s="14" t="inlineStr">
        <is>
          <t>Shri Sunila Lamjevara Of them House from to Shri Kalavati Borasare Of them House Up to</t>
        </is>
      </c>
      <c r="K56" s="14" t="inlineStr">
        <is>
          <t>Shri Balakrsna Hatavara Of them House from to Shri Ramu Dhoke Of them House Up to</t>
        </is>
      </c>
      <c r="L56" s="45" t="n">
        <v>721</v>
      </c>
      <c r="M56" s="20">
        <f>L56*13/100</f>
        <v/>
      </c>
      <c r="N56" s="20">
        <f>L56+M56</f>
        <v/>
      </c>
      <c r="O56" s="46" t="n"/>
    </row>
    <row r="57" ht="72" customHeight="1" s="30">
      <c r="A57" s="36" t="n">
        <v>41</v>
      </c>
      <c r="B57" s="6" t="n">
        <v>3</v>
      </c>
      <c r="C57" s="37" t="n"/>
      <c r="D57" s="7" t="inlineStr">
        <is>
          <t>Prabhaga No. 13</t>
        </is>
      </c>
      <c r="E57" s="12" t="inlineStr">
        <is>
          <t>0013</t>
        </is>
      </c>
      <c r="F57" s="12" t="inlineStr">
        <is>
          <t>0038</t>
        </is>
      </c>
      <c r="G57" s="12" t="n"/>
      <c r="H57" s="14" t="inlineStr">
        <is>
          <t>Bidi address Godown to Shri Rajagire Of them S T D and Computer shop  Up to</t>
        </is>
      </c>
      <c r="I57" s="14" t="inlineStr">
        <is>
          <t>Tumasara Railway Town to Bhandara Road Railway Chauki Up to</t>
        </is>
      </c>
      <c r="J57" s="14" t="inlineStr">
        <is>
          <t>Bavadi in front of the temple shop  from Straight By Road Shri Durgaprasad Saraph Athitigrha to Shri Rajagire Of them S T D and Computer shop  Up to</t>
        </is>
      </c>
      <c r="K57" s="14" t="inlineStr">
        <is>
          <t>Tumasara Railway Town to Bidi address Godown Up to</t>
        </is>
      </c>
      <c r="L57" s="15" t="n">
        <v>687</v>
      </c>
      <c r="M57" s="20">
        <f>L57*13/100</f>
        <v/>
      </c>
      <c r="N57" s="16">
        <f>L57+M57</f>
        <v/>
      </c>
      <c r="O57" s="46" t="n"/>
    </row>
    <row r="58" ht="54" customHeight="1" s="30">
      <c r="A58" s="36" t="n">
        <v>42</v>
      </c>
      <c r="B58" s="6" t="n">
        <v>4</v>
      </c>
      <c r="C58" s="37" t="n"/>
      <c r="D58" s="7" t="inlineStr">
        <is>
          <t>Prabhaga No. 13</t>
        </is>
      </c>
      <c r="E58" s="12" t="inlineStr">
        <is>
          <t>0013</t>
        </is>
      </c>
      <c r="F58" s="12" t="inlineStr">
        <is>
          <t>0039</t>
        </is>
      </c>
      <c r="G58" s="12" t="n"/>
      <c r="H58" s="94" t="inlineStr">
        <is>
          <t>Shri Bhandara Road Railway Chauki to Shri Agrawal Of them House to Shri Jodhani Of them House to Municipal Council Office Up to</t>
        </is>
      </c>
      <c r="I58" s="94" t="inlineStr">
        <is>
          <t>Devhadi Road Railway Chauki to Bhandara Road Railway Chauki Up to</t>
        </is>
      </c>
      <c r="J58" s="94" t="inlineStr">
        <is>
          <t>N. P. Office to Devhadi Road Railway Chauki Up to</t>
        </is>
      </c>
      <c r="K58" s="94" t="inlineStr">
        <is>
          <t>Devhadi Road Railway Chauki to Upakosagara Office Up to</t>
        </is>
      </c>
      <c r="L58" s="15" t="n">
        <v>730</v>
      </c>
      <c r="M58" s="20">
        <f>L58*13/100</f>
        <v/>
      </c>
      <c r="N58" s="16">
        <f>L58+M58</f>
        <v/>
      </c>
      <c r="O58" s="46" t="n"/>
    </row>
    <row r="59" ht="54" customHeight="1" s="30">
      <c r="A59" s="36" t="n">
        <v>43</v>
      </c>
      <c r="B59" s="6" t="n">
        <v>5</v>
      </c>
      <c r="C59" s="37" t="n"/>
      <c r="D59" s="7" t="inlineStr">
        <is>
          <t>Prabhaga No. 14</t>
        </is>
      </c>
      <c r="E59" s="68" t="inlineStr">
        <is>
          <t>0014</t>
        </is>
      </c>
      <c r="F59" s="68" t="inlineStr">
        <is>
          <t>0040</t>
        </is>
      </c>
      <c r="G59" s="68" t="n"/>
      <c r="H59" s="69" t="inlineStr">
        <is>
          <t>Shri Kavale Fabricators to Shri Bhure them Aata Chakki to Shri Bagalkar them S T D shop  Up to</t>
        </is>
      </c>
      <c r="I59" s="69" t="inlineStr">
        <is>
          <t>Shri Chopkar them old Medical shop  from to Shri Ram Bhavan to Shri Agasse Typing and xerox shop  Up to</t>
        </is>
      </c>
      <c r="J59" s="69" t="inlineStr">
        <is>
          <t>Shri Chopkar them old Medical shop  from to Shri Bagalkar them S T D shop  Up to</t>
        </is>
      </c>
      <c r="K59" s="69" t="inlineStr">
        <is>
          <t>Shri Kavale Fabricators to Straight N. P. By Road Shri Agasse Typing and xerox shop  Up to</t>
        </is>
      </c>
      <c r="L59" s="70" t="n">
        <v>455</v>
      </c>
      <c r="M59" s="95">
        <f>L59*13/100</f>
        <v/>
      </c>
      <c r="N59" s="71">
        <f>L59+M59</f>
        <v/>
      </c>
      <c r="O59" s="46" t="n"/>
    </row>
    <row r="60" ht="36" customHeight="1" s="30">
      <c r="A60" s="36" t="n">
        <v>44</v>
      </c>
      <c r="B60" s="6" t="n">
        <v>6</v>
      </c>
      <c r="C60" s="37" t="n"/>
      <c r="D60" s="7" t="inlineStr">
        <is>
          <t>Prabhaga No. 14</t>
        </is>
      </c>
      <c r="E60" s="12" t="inlineStr">
        <is>
          <t>00014</t>
        </is>
      </c>
      <c r="F60" s="12" t="inlineStr">
        <is>
          <t>0041</t>
        </is>
      </c>
      <c r="G60" s="12" t="n"/>
      <c r="H60" s="14" t="inlineStr">
        <is>
          <t>Shri Lamjevara Of them House from to Shri Jayasval Of them Complex Up to</t>
        </is>
      </c>
      <c r="I60" s="14" t="inlineStr">
        <is>
          <t>Shri Jagadizacandra Karemore Of them Complex to Bavanakar Chauk Shri Durga Vatra Bhandara shop  Up to</t>
        </is>
      </c>
      <c r="J60" s="14" t="inlineStr">
        <is>
          <t>Shri Jayasval Of them Complex to Shri Jagadizacandra Karemore Of them Complex Up to</t>
        </is>
      </c>
      <c r="K60" s="14" t="inlineStr">
        <is>
          <t>Bavanakar Chauk Shri Durga Vatra Bhandara shop  from to Shri Santaji Dharmshala Up to</t>
        </is>
      </c>
      <c r="L60" s="15" t="n">
        <v>534</v>
      </c>
      <c r="M60" s="20">
        <f>L60*13/100</f>
        <v/>
      </c>
      <c r="N60" s="16">
        <f>L60+M60</f>
        <v/>
      </c>
      <c r="O60" s="46" t="n"/>
    </row>
    <row r="61" ht="36" customHeight="1" s="30">
      <c r="A61" s="36" t="n">
        <v>45</v>
      </c>
      <c r="B61" s="21" t="n">
        <v>0</v>
      </c>
      <c r="C61" s="38" t="n"/>
      <c r="D61" s="23" t="inlineStr">
        <is>
          <t>Prabhaga No. 15</t>
        </is>
      </c>
      <c r="E61" s="24" t="n"/>
      <c r="F61" s="24" t="inlineStr">
        <is>
          <t>0044</t>
        </is>
      </c>
      <c r="G61" s="24" t="n"/>
      <c r="H61" s="96" t="inlineStr">
        <is>
          <t>Shri Satyanarayan Temple to Shri Dhoke Of them House Up to</t>
        </is>
      </c>
      <c r="I61" s="96" t="inlineStr">
        <is>
          <t>Shri Hanuman Temple to Shri Satyanarayan Temple Up to</t>
        </is>
      </c>
      <c r="J61" s="96" t="inlineStr">
        <is>
          <t>Khandelval Medical Stores to Shri Dhoke Of them House Up to</t>
        </is>
      </c>
      <c r="K61" s="96" t="inlineStr">
        <is>
          <t>Shri Satyanarayan Temple</t>
        </is>
      </c>
      <c r="L61" s="26" t="n">
        <v>239</v>
      </c>
      <c r="M61" s="27">
        <f>L61*13/100</f>
        <v/>
      </c>
      <c r="N61" s="28">
        <f>L61+M61</f>
        <v/>
      </c>
      <c r="O61" s="46" t="n"/>
    </row>
    <row r="62" ht="18.75" customHeight="1" s="30" thickBot="1">
      <c r="B62" s="55" t="n"/>
      <c r="C62" s="56" t="n"/>
      <c r="D62" s="56" t="n"/>
      <c r="E62" s="56" t="n"/>
      <c r="F62" s="56" t="n"/>
      <c r="G62" s="56" t="n"/>
      <c r="H62" s="56" t="n"/>
      <c r="I62" s="56" t="n"/>
      <c r="J62" s="56" t="n"/>
      <c r="K62" s="56" t="n"/>
      <c r="L62" s="57">
        <f>SUM(L55:L61)</f>
        <v/>
      </c>
      <c r="M62" s="20">
        <f>L62*13/100</f>
        <v/>
      </c>
      <c r="N62" s="58">
        <f>SUM(N55:N61)</f>
        <v/>
      </c>
      <c r="O62" s="77">
        <f>N62/750</f>
        <v/>
      </c>
    </row>
    <row r="63" ht="15.75" customHeight="1" s="30" thickBot="1"/>
    <row r="64" ht="21" customHeight="1" s="30">
      <c r="B64" s="41" t="n"/>
      <c r="C64" s="42" t="n"/>
      <c r="D64" s="42" t="n"/>
      <c r="E64" s="42" t="n"/>
      <c r="F64" s="42" t="n"/>
      <c r="G64" s="42" t="n"/>
      <c r="H64" s="43" t="inlineStr">
        <is>
          <t>Prabhaga No. 8</t>
        </is>
      </c>
      <c r="I64" s="42" t="n"/>
      <c r="J64" s="42" t="n"/>
      <c r="K64" s="42" t="n"/>
      <c r="L64" s="42" t="n"/>
      <c r="M64" s="42" t="n"/>
      <c r="N64" s="42" t="n"/>
      <c r="O64" s="44" t="n"/>
    </row>
    <row r="65" ht="36" customHeight="1" s="30">
      <c r="A65" s="36" t="n">
        <v>46</v>
      </c>
      <c r="B65" s="21" t="n">
        <v>1</v>
      </c>
      <c r="C65" s="38" t="n">
        <v>8</v>
      </c>
      <c r="D65" s="23" t="inlineStr">
        <is>
          <t>Prabhaga No. 15</t>
        </is>
      </c>
      <c r="E65" s="97" t="inlineStr">
        <is>
          <t>0015</t>
        </is>
      </c>
      <c r="F65" s="97" t="inlineStr">
        <is>
          <t>0043</t>
        </is>
      </c>
      <c r="G65" s="97" t="n"/>
      <c r="H65" s="63" t="inlineStr">
        <is>
          <t>Shri Dinesh Nagapota Of them Complex to Masjid to Shri Bhandake Of them House Up to</t>
        </is>
      </c>
      <c r="I65" s="63" t="inlineStr">
        <is>
          <t>old Sarve construction department Office to Shri Chimanbhai Patel Of them House Up to</t>
        </is>
      </c>
      <c r="J65" s="63" t="inlineStr">
        <is>
          <t>Shri Bhandake Of them House from to Shri Chimanbhai Patel Of them House Up to</t>
        </is>
      </c>
      <c r="K65" s="63" t="inlineStr">
        <is>
          <t>Shri Dinesh Nagapota Of them Complex from to old Sarve construction department Office Up to</t>
        </is>
      </c>
      <c r="L65" s="64" t="n">
        <v>451</v>
      </c>
      <c r="M65" s="98">
        <f>L65*13/100</f>
        <v/>
      </c>
      <c r="N65" s="98">
        <f>L65+M65</f>
        <v/>
      </c>
      <c r="O65" s="99" t="n"/>
    </row>
    <row r="66" ht="36" customHeight="1" s="30">
      <c r="A66" s="36" t="n">
        <v>47</v>
      </c>
      <c r="B66" s="6" t="n">
        <v>2</v>
      </c>
      <c r="C66" s="100" t="n"/>
      <c r="D66" s="7" t="inlineStr">
        <is>
          <t>Prabhaga No. 15</t>
        </is>
      </c>
      <c r="E66" s="12" t="inlineStr">
        <is>
          <t>0015</t>
        </is>
      </c>
      <c r="F66" s="12" t="inlineStr">
        <is>
          <t>0045</t>
        </is>
      </c>
      <c r="G66" s="12" t="n"/>
      <c r="H66" s="14" t="inlineStr">
        <is>
          <t>Shri Hanuman Temple to Shri Gurvezvara Ganesh Medira to Shri Mahendra Jain Of them empty Plot Up to</t>
        </is>
      </c>
      <c r="I66" s="14" t="inlineStr">
        <is>
          <t>N. P. Boring to Shri Rajesh Chopkar Of them House Up to</t>
        </is>
      </c>
      <c r="J66" s="14" t="inlineStr">
        <is>
          <t>Shri Mahendra Jain Of them empty Plot Up to to N. P. Boring Up to</t>
        </is>
      </c>
      <c r="K66" s="14" t="inlineStr">
        <is>
          <t>Shri Hanuman Temple to Shri Rajesh Chopkar Of them House Up to</t>
        </is>
      </c>
      <c r="L66" s="15" t="n">
        <v>727</v>
      </c>
      <c r="M66" s="98">
        <f>L66*13/100</f>
        <v/>
      </c>
      <c r="N66" s="16">
        <f>L66+M66</f>
        <v/>
      </c>
      <c r="O66" s="46" t="n"/>
    </row>
    <row r="67" ht="168.75" customHeight="1" s="30">
      <c r="A67" s="36" t="n">
        <v>48</v>
      </c>
      <c r="B67" s="6" t="n">
        <v>3</v>
      </c>
      <c r="C67" s="37" t="n"/>
      <c r="D67" s="7" t="inlineStr">
        <is>
          <t>Prabhaga No. 16</t>
        </is>
      </c>
      <c r="E67" s="12" t="inlineStr">
        <is>
          <t>0016</t>
        </is>
      </c>
      <c r="F67" s="12" t="inlineStr">
        <is>
          <t>0047</t>
        </is>
      </c>
      <c r="G67" s="12" t="n"/>
      <c r="H67" s="14" t="inlineStr">
        <is>
          <t>Koshti near the Village Municipal Council Boundary Plot Number N. 766 to New Sharda Kanya Vidayalaya Imarat to of pond Part to Shri Pathak Guruji Of them House to Straight Municipal Council By Road Shri Kanpate Of them Marble Godown to Shri Sanjay Chakole Of them House to Dnyaneshwari Complex to Shri Padole Of them House Up to</t>
        </is>
      </c>
      <c r="I67" s="14" t="inlineStr">
        <is>
          <t>Koshti near the Village Municipal Council Boundary Plot Number N. 769 to New Sharda Kanya Vidayalaya Imarat to of pond Part to Shri Jitendra Bavanakar Of them House to Shri Mohan Vanjari Of them House to Road Olandun Mrs. Sitabai Sidam Of them House to Road Across Shri Mohan Shahare Of them House to Shri Jaiswal Of them House to Shri Haider Sheikh Of them House to Road Olandun Dr. Chandrashekhar Bhoyar Of them House to Shri Rama Nikhade Of them House to Municipal Council Dhangare Primary School Up to</t>
        </is>
      </c>
      <c r="J67" s="14" t="inlineStr">
        <is>
          <t>Koshti near the Village Municipal Council Boundary Plot Number N. 766 to New to Plot Number N. 769 Up to</t>
        </is>
      </c>
      <c r="K67" s="14" t="inlineStr">
        <is>
          <t>Shri Dnyaneshwari Complex near Shri Padole Of them House to Municipal Council Dhangare Primary School Up to</t>
        </is>
      </c>
      <c r="L67" s="15" t="n">
        <v>800</v>
      </c>
      <c r="M67" s="98">
        <f>L67*13/100</f>
        <v/>
      </c>
      <c r="N67" s="20">
        <f>L67+M67</f>
        <v/>
      </c>
      <c r="O67" s="46" t="n"/>
    </row>
    <row r="68" ht="108" customHeight="1" s="30">
      <c r="A68" s="36" t="n">
        <v>49</v>
      </c>
      <c r="B68" s="101" t="n">
        <v>4</v>
      </c>
      <c r="C68" s="7" t="n"/>
      <c r="D68" s="12" t="n"/>
      <c r="E68" s="12" t="n"/>
      <c r="F68" s="12" t="inlineStr">
        <is>
          <t>0050</t>
        </is>
      </c>
      <c r="G68" s="12" t="n"/>
      <c r="H68" s="14" t="inlineStr">
        <is>
          <t>Shri Shravan Nikhade Of them House to Shri Tariq Qureshi Of them House to Shri Purushottam Sonkar Of them House Shri Digu Phulvadhava Of them House to Shri Darwin Rauta Of them House to Shri Besarakar Of them House to Koshti Village Adjacent Municipal Council Boundary Plot Number N. 762 Up to</t>
        </is>
      </c>
      <c r="I68" s="13" t="inlineStr">
        <is>
          <t>Shri Jeevan Puri Of them House from Adjacent Railway Line from to Shri Dilip Sambalwar Of them House to Shri Narayana Aasvani Of them House to Shri Gomaji Dongre Of them House to Koshti near the Village Municipal Council Boundary Plot Number N. 780 Up to</t>
        </is>
      </c>
      <c r="J68" s="14" t="inlineStr">
        <is>
          <t>Koshti near the Village Municipal Council Boundary Plot Number N. 762 to New to Plot Number N. 780 Up to</t>
        </is>
      </c>
      <c r="K68" s="14" t="inlineStr">
        <is>
          <t>Shri Shravan Nikhade Of them House to Shri Gopala Hemane Of them House to Mrs. Muktabai Kevat Of them House to Shri Suresh Thote Of them House to Mrs. Shila Zemde Of them House to Shri Omprakash Maske Of them House to Shri Jeevan Puri Of them House Up to</t>
        </is>
      </c>
      <c r="L68" s="15" t="n">
        <v>758</v>
      </c>
      <c r="M68" s="98">
        <f>L68*13/100</f>
        <v/>
      </c>
      <c r="N68" s="20">
        <f>L68+M68</f>
        <v/>
      </c>
      <c r="O68" s="46" t="n"/>
    </row>
    <row r="69" ht="97.5" customHeight="1" s="30">
      <c r="A69" s="36" t="n">
        <v>50</v>
      </c>
      <c r="B69" s="6" t="n">
        <v>5</v>
      </c>
      <c r="C69" s="37" t="n"/>
      <c r="D69" s="7" t="inlineStr">
        <is>
          <t>Prabhaga No. 17</t>
        </is>
      </c>
      <c r="E69" s="12" t="inlineStr">
        <is>
          <t>0017</t>
        </is>
      </c>
      <c r="F69" s="12" t="inlineStr">
        <is>
          <t>0049</t>
        </is>
      </c>
      <c r="G69" s="12" t="n"/>
      <c r="H69" s="14" t="inlineStr">
        <is>
          <t>Shri Tikaram Lamjevara Of them House from to Shri Straight By Road Shri Vikas Ramprasad Sanesar Of them House Up to</t>
        </is>
      </c>
      <c r="I69" s="14" t="inlineStr">
        <is>
          <t>Shri Narayana Meher Of them House from to Straight By Road Dnyaneshwari Complex In Front Mauli Bike Repairing Shop Up to</t>
        </is>
      </c>
      <c r="J69" s="14" t="inlineStr">
        <is>
          <t>Shri Vikas Ramprasad Sanesar Of them House from to Straight By Road Mrs. Premkala Thakre Of them Gharamage By Road Shri Narayana Meher Of them Gharapamryata</t>
        </is>
      </c>
      <c r="K69" s="14" t="inlineStr">
        <is>
          <t>Shri Tikaram Lamjevara Of them House from to Ma Khasdar Shri Madhukarji Kukde Of them House to Dnyaneshwari Complex In Front Mauli Bike Repairing Shop Up to</t>
        </is>
      </c>
      <c r="L69" s="15" t="n">
        <v>488</v>
      </c>
      <c r="M69" s="98">
        <f>L69*13/100</f>
        <v/>
      </c>
      <c r="N69" s="16">
        <f>L69+M69</f>
        <v/>
      </c>
      <c r="O69" s="46" t="n"/>
    </row>
    <row r="70" ht="72" customHeight="1" s="30">
      <c r="A70" s="36" t="n">
        <v>51</v>
      </c>
      <c r="B70" s="6" t="n">
        <v>6</v>
      </c>
      <c r="C70" s="37" t="n">
        <v>9</v>
      </c>
      <c r="D70" s="7" t="inlineStr">
        <is>
          <t>Prabhaga No. 16</t>
        </is>
      </c>
      <c r="E70" s="12" t="inlineStr">
        <is>
          <t>0016</t>
        </is>
      </c>
      <c r="F70" s="12" t="inlineStr">
        <is>
          <t>0048</t>
        </is>
      </c>
      <c r="G70" s="12" t="n"/>
      <c r="H70" s="14" t="inlineStr">
        <is>
          <t>Mrs. Vigha Mukesh Banasure to Shri Sapate Residence N. P. Boring ) to Mrs. Sushila Shri Ram Sapate Of them House to Shri Hiralal Sanbhoir Of them House Up to</t>
        </is>
      </c>
      <c r="I70" s="14" t="inlineStr">
        <is>
          <t>Shri Kapoor Titiramare Of them House to Straight By Road Anjali Internet Cafe Up to</t>
        </is>
      </c>
      <c r="J70" s="14" t="inlineStr">
        <is>
          <t>Anjali Internet Cafe to Shri Sarve Residence to Shri Ranjit Shri Ram Meshram Of them House to Road Across Shri Devarav Selokar Of them House to Mrs. Vigha Banasure Of them House Up to</t>
        </is>
      </c>
      <c r="K70" s="14" t="inlineStr">
        <is>
          <t>Shri Kapoor Titiramare Of them House to Straight By Road Mrs. Premkala Thakre Of them of house Back Part ( Road Across ) to Shri Hiralal Sanbhoir Of them House Up to</t>
        </is>
      </c>
      <c r="L70" s="15" t="n">
        <v>751</v>
      </c>
      <c r="M70" s="98">
        <f>L70*13/100</f>
        <v/>
      </c>
      <c r="N70" s="20">
        <f>L70+M70</f>
        <v/>
      </c>
      <c r="O70" s="46" t="n"/>
    </row>
    <row r="71" ht="36" customHeight="1" s="30">
      <c r="A71" s="36" t="n">
        <v>52</v>
      </c>
      <c r="B71" s="6" t="n">
        <v>8</v>
      </c>
      <c r="C71" s="37" t="n"/>
      <c r="D71" s="7" t="inlineStr">
        <is>
          <t>Prabhaga No. 18</t>
        </is>
      </c>
      <c r="E71" s="12" t="inlineStr">
        <is>
          <t>00018</t>
        </is>
      </c>
      <c r="F71" s="12" t="inlineStr">
        <is>
          <t>0053</t>
        </is>
      </c>
      <c r="G71" s="12" t="n"/>
      <c r="H71" s="14" t="inlineStr">
        <is>
          <t>Municipal Council Raybahadur Complex to Shri Shalik Padole Of them House Up to</t>
        </is>
      </c>
      <c r="I71" s="14" t="inlineStr">
        <is>
          <t>Shri Shiv Jaipuriya Of them Layout</t>
        </is>
      </c>
      <c r="J71" s="14" t="inlineStr">
        <is>
          <t>Shri Shalik Padole Of them House from Shri Shiv Jaipuriya Of them Layout Up to</t>
        </is>
      </c>
      <c r="K71" s="14" t="inlineStr">
        <is>
          <t>Shri Shiv Jaipuriya Of them Layout to Municipal Council Raybahadur Complex Up to</t>
        </is>
      </c>
      <c r="L71" s="15" t="n">
        <v>477</v>
      </c>
      <c r="M71" s="98">
        <f>L71*13/100</f>
        <v/>
      </c>
      <c r="N71" s="16">
        <f>L71+M71</f>
        <v/>
      </c>
      <c r="O71" s="46" t="n"/>
    </row>
    <row r="72" ht="144.75" customHeight="1" s="30" thickBot="1">
      <c r="A72" s="36" t="n">
        <v>53</v>
      </c>
      <c r="B72" s="7" t="n">
        <v>40</v>
      </c>
      <c r="C72" s="86" t="n">
        <v>47</v>
      </c>
      <c r="D72" s="7" t="inlineStr">
        <is>
          <t>Prabhaga No. 16</t>
        </is>
      </c>
      <c r="E72" s="12" t="inlineStr">
        <is>
          <t>0016</t>
        </is>
      </c>
      <c r="F72" s="12" t="inlineStr">
        <is>
          <t>0047</t>
        </is>
      </c>
      <c r="G72" s="12" t="n"/>
      <c r="H72" s="14" t="inlineStr">
        <is>
          <t>Koshti near the Village Municipal Council Boundary Plot Number N. 766 to New Sharda Kanya Vidayalaya Imarat to of pond Part to Shri Pathak Guruji Of them House to Straight Municipal Council By Road Shri Kanpate Of them Marble Godown to Shri Sanjay Chakole Of them House to Dnyaneshwari Complex to Shri Padole Of them House Up to</t>
        </is>
      </c>
      <c r="I72" s="14" t="inlineStr">
        <is>
          <t>Koshti near the Village Municipal Council Boundary Plot Number N. 769 to New Sharda Kanya Vidayalaya Imarat to of pond Part to Shri Jitendra Bavanakar Of them House to Shri Mohan Vanjari Of them House to Road Olandun Mrs. Sitabai Sidam Of them House to Road Across Shri Mohan Shahare Of them House to Shri Jaiswal Of them House to Shri Haider Sheikh Of them House to Road Olandun Dr. Chandrashekhar Bhoyar Of them House to Shri Rama Nikhade Of them House to Municipal Council Dhangare Primary School Up to</t>
        </is>
      </c>
      <c r="J72" s="14" t="inlineStr">
        <is>
          <t>Koshti near the Village Municipal Council Boundary Plot Number N. 766 to New to Plot Number N. 769 Up to</t>
        </is>
      </c>
      <c r="K72" s="14" t="inlineStr">
        <is>
          <t>Shri Dnyaneshwari Complex near Shri Padole Of them House to Municipal Council Dhangare Primary School Up to</t>
        </is>
      </c>
      <c r="L72" s="15" t="n">
        <v>800</v>
      </c>
      <c r="M72" s="98">
        <f>L72*13/100</f>
        <v/>
      </c>
      <c r="N72" s="20">
        <f>L72+M72</f>
        <v/>
      </c>
      <c r="O72" s="77" t="n"/>
    </row>
    <row r="73" ht="18" customHeight="1" s="30">
      <c r="L73" s="61">
        <f>SUM(L65:L72)</f>
        <v/>
      </c>
      <c r="M73" s="102">
        <f>SUM(M65:M72)</f>
        <v/>
      </c>
      <c r="N73" s="61">
        <f>SUM(N65:N72)</f>
        <v/>
      </c>
      <c r="O73" s="103">
        <f>N73/750</f>
        <v/>
      </c>
    </row>
    <row r="74" ht="15.75" customHeight="1" s="30" thickBot="1">
      <c r="L74" s="61" t="n"/>
      <c r="M74" s="61" t="n"/>
      <c r="N74" s="61" t="n"/>
      <c r="O74" s="103" t="n"/>
    </row>
    <row r="75" ht="21" customHeight="1" s="30">
      <c r="B75" s="41" t="n"/>
      <c r="C75" s="42" t="n"/>
      <c r="D75" s="42" t="n"/>
      <c r="E75" s="42" t="n"/>
      <c r="F75" s="42" t="n"/>
      <c r="G75" s="42" t="n"/>
      <c r="H75" s="43" t="inlineStr">
        <is>
          <t>Prabhaga No. 9</t>
        </is>
      </c>
      <c r="I75" s="42" t="n"/>
      <c r="J75" s="42" t="n"/>
      <c r="K75" s="42" t="n"/>
      <c r="L75" s="42" t="n"/>
      <c r="M75" s="42" t="n"/>
      <c r="N75" s="42" t="n"/>
      <c r="O75" s="44" t="n"/>
    </row>
    <row r="76" ht="36" customHeight="1" s="30">
      <c r="A76" s="36" t="n">
        <v>54</v>
      </c>
      <c r="B76" s="6" t="n">
        <v>1</v>
      </c>
      <c r="C76" s="37" t="n"/>
      <c r="D76" s="7" t="inlineStr">
        <is>
          <t>Prabhaga No. 18</t>
        </is>
      </c>
      <c r="E76" s="12" t="inlineStr">
        <is>
          <t>0018</t>
        </is>
      </c>
      <c r="F76" s="12" t="inlineStr">
        <is>
          <t>0051</t>
        </is>
      </c>
      <c r="G76" s="12" t="n"/>
      <c r="H76" s="14" t="inlineStr">
        <is>
          <t>Shri Ramesh Jayasval Of them House from to Shri Ramavatar Jayasval Phataka shop  Up to</t>
        </is>
      </c>
      <c r="I76" s="14" t="inlineStr">
        <is>
          <t>Railway Line Adjacent Public Toilet to N. P. Boundary Plot Number N. 765 Up to</t>
        </is>
      </c>
      <c r="J76" s="14" t="inlineStr">
        <is>
          <t>Shri Ramesh Jayasval Of them House from to Straight By Road Hanuman Temple to of rail Line Up to</t>
        </is>
      </c>
      <c r="K76" s="14" t="inlineStr">
        <is>
          <t>Railway Line Adjacent Public Toilet to Shri Ramavatar Jayasval Phataka shop  Up to</t>
        </is>
      </c>
      <c r="L76" s="15" t="n">
        <v>794</v>
      </c>
      <c r="M76" s="16">
        <f>L76*13/100</f>
        <v/>
      </c>
      <c r="N76" s="20">
        <f>L76+M76</f>
        <v/>
      </c>
      <c r="O76" s="46" t="n"/>
    </row>
    <row r="77" ht="72" customHeight="1" s="30">
      <c r="A77" s="36" t="n">
        <v>55</v>
      </c>
      <c r="B77" s="6" t="n">
        <v>2</v>
      </c>
      <c r="C77" s="37" t="n"/>
      <c r="D77" s="7" t="inlineStr">
        <is>
          <t>Prabhaga No. 18</t>
        </is>
      </c>
      <c r="E77" s="12" t="inlineStr">
        <is>
          <t>0018</t>
        </is>
      </c>
      <c r="F77" s="12" t="inlineStr">
        <is>
          <t>0052</t>
        </is>
      </c>
      <c r="G77" s="12" t="n"/>
      <c r="H77" s="14" t="inlineStr">
        <is>
          <t>Shri Suresh Meshram Of them House Adjacent Devhadi Road Railway Line to Rai Sahab Seth Gopikisan address Godown of Back Part Railway Line Up to</t>
        </is>
      </c>
      <c r="I77" s="14" t="inlineStr">
        <is>
          <t>Shri Santosh Mogre Of them House Javalcha corner</t>
        </is>
      </c>
      <c r="J77" s="14" t="inlineStr">
        <is>
          <t>Rai Sahab Seth Gopikisan address Godown of Back Part Railway Line to Shri Santosh Mogre Of them House Javalcha corner</t>
        </is>
      </c>
      <c r="K77" s="14" t="inlineStr">
        <is>
          <t>Shri Santosh Mogre Of them House Javalcha corner to Shri Suresh Meshram House Adjacent Devhadi Road Railveline Up to</t>
        </is>
      </c>
      <c r="L77" s="15" t="n">
        <v>649</v>
      </c>
      <c r="M77" s="16">
        <f>L77*13/100</f>
        <v/>
      </c>
      <c r="N77" s="16">
        <f>L77+M77</f>
        <v/>
      </c>
      <c r="O77" s="46" t="n"/>
    </row>
    <row r="78" ht="54" customHeight="1" s="30">
      <c r="A78" s="36" t="n">
        <v>56</v>
      </c>
      <c r="B78" s="6" t="n">
        <v>3</v>
      </c>
      <c r="C78" s="37" t="n">
        <v>9</v>
      </c>
      <c r="D78" s="7" t="inlineStr">
        <is>
          <t>Prabhaga No. 19</t>
        </is>
      </c>
      <c r="E78" s="12" t="inlineStr">
        <is>
          <t>0019</t>
        </is>
      </c>
      <c r="F78" s="12" t="inlineStr">
        <is>
          <t>0054</t>
        </is>
      </c>
      <c r="G78" s="12" t="n"/>
      <c r="H78" s="14" t="inlineStr">
        <is>
          <t>Shri Vanjari Of them from house to Railway Line to N. P. Boundary Plot Number No. 664 Up to</t>
        </is>
      </c>
      <c r="I78" s="14" t="inlineStr">
        <is>
          <t>N. P. Boundary Plot Number No. 782 to Rahul Beer Bar to Ganesh Lawns near Municipal Council Boundary to Straight By Road Tamaswadi Rodache Toka Up to</t>
        </is>
      </c>
      <c r="J78" s="14" t="inlineStr">
        <is>
          <t>N. P. Boundary Plot Number No. 664 to Plot Number No. 782 Up to</t>
        </is>
      </c>
      <c r="K78" s="14" t="inlineStr">
        <is>
          <t>Municipal Council Boundary Tamaswadi Rodache Toka to to Straight By Road Shri Bharat Chakole Of them House In Front empty Plot Up to</t>
        </is>
      </c>
      <c r="L78" s="15" t="n">
        <v>704</v>
      </c>
      <c r="M78" s="16">
        <f>L78*13/100</f>
        <v/>
      </c>
      <c r="N78" s="16">
        <f>L78+M78</f>
        <v/>
      </c>
      <c r="O78" s="46" t="n"/>
    </row>
    <row r="79" ht="108" customHeight="1" s="30">
      <c r="A79" s="36" t="n">
        <v>57</v>
      </c>
      <c r="B79" s="6" t="n">
        <v>4</v>
      </c>
      <c r="C79" s="37" t="n"/>
      <c r="D79" s="7" t="inlineStr">
        <is>
          <t>Prabhaga No. 19</t>
        </is>
      </c>
      <c r="E79" s="12" t="inlineStr">
        <is>
          <t>0019</t>
        </is>
      </c>
      <c r="F79" s="12" t="inlineStr">
        <is>
          <t>0055</t>
        </is>
      </c>
      <c r="G79" s="12" t="n"/>
      <c r="H79" s="14" t="inlineStr">
        <is>
          <t>Devhadi Road Railway Chauki to Bhandara Road Railway Chauki Up to</t>
        </is>
      </c>
      <c r="I79" s="14" t="inlineStr">
        <is>
          <t>Shri Prakash Agrawal Of them House to Shri Padole Of them House In Front Hanuman Tal them Rimami space Up to Up to</t>
        </is>
      </c>
      <c r="J79" s="14" t="inlineStr">
        <is>
          <t>Devhadi Road Railway Chauki to Shri Prakash Agrawal Of them House Up to</t>
        </is>
      </c>
      <c r="K79" s="14" t="inlineStr">
        <is>
          <t>Shri Govind Agrawal Of them House from to Straight By Road Shri Nagapota Of them House to Road Olanden Shri Lalwani Of them House to Shri Chaudhary Of them House to Straight By Road Shri Padole Of them House In Front Hanuman Tal them Rimami space Up to Up to</t>
        </is>
      </c>
      <c r="L79" s="15" t="n">
        <v>600</v>
      </c>
      <c r="M79" s="16">
        <f>L79*13/100</f>
        <v/>
      </c>
      <c r="N79" s="16">
        <f>L79+M79</f>
        <v/>
      </c>
      <c r="O79" s="46" t="n"/>
    </row>
    <row r="80" ht="18.75" customHeight="1" s="30" thickBot="1">
      <c r="B80" s="55" t="n"/>
      <c r="C80" s="56" t="n"/>
      <c r="D80" s="56" t="n"/>
      <c r="E80" s="56" t="n"/>
      <c r="F80" s="56" t="n"/>
      <c r="G80" s="56" t="n"/>
      <c r="H80" s="56" t="n"/>
      <c r="I80" s="56" t="n"/>
      <c r="J80" s="56" t="n"/>
      <c r="K80" s="56" t="n"/>
      <c r="L80" s="57">
        <f>SUM(L76:L79)</f>
        <v/>
      </c>
      <c r="M80" s="20">
        <f>L80*13/100</f>
        <v/>
      </c>
      <c r="N80" s="58">
        <f>SUM(N76:N79)</f>
        <v/>
      </c>
      <c r="O80" s="77">
        <f>N80/750</f>
        <v/>
      </c>
    </row>
    <row r="81"/>
    <row r="82" ht="21" customHeight="1" s="30">
      <c r="B82" s="12" t="n"/>
      <c r="C82" s="14" t="n"/>
      <c r="D82" s="14" t="n"/>
      <c r="E82" s="14" t="n"/>
      <c r="F82" s="14" t="n"/>
      <c r="G82" s="15" t="n"/>
      <c r="H82" s="35" t="inlineStr">
        <is>
          <t>Prabhaga No. 10</t>
        </is>
      </c>
      <c r="I82" s="16" t="n"/>
      <c r="J82" s="34" t="n"/>
      <c r="K82" s="34" t="n"/>
      <c r="L82" s="34" t="n"/>
      <c r="M82" s="34" t="n"/>
      <c r="N82" s="34" t="n"/>
      <c r="O82" s="34" t="n"/>
    </row>
    <row r="83" ht="36" customHeight="1" s="30">
      <c r="A83" s="36" t="n">
        <v>58</v>
      </c>
      <c r="B83" s="7" t="n">
        <v>1</v>
      </c>
      <c r="C83" s="37" t="n">
        <v>10</v>
      </c>
      <c r="D83" s="7" t="inlineStr">
        <is>
          <t>Prabhaga No. 19</t>
        </is>
      </c>
      <c r="E83" s="12" t="inlineStr">
        <is>
          <t>0019</t>
        </is>
      </c>
      <c r="F83" s="12" t="inlineStr">
        <is>
          <t>0056</t>
        </is>
      </c>
      <c r="G83" s="12" t="n"/>
      <c r="H83" s="14" t="inlineStr">
        <is>
          <t>Shri Hanuman Temple to Shri Bharat Chakole Of them House Up to</t>
        </is>
      </c>
      <c r="I83" s="14" t="inlineStr">
        <is>
          <t>Municipal Council Boundary Plot Number N. 1206 to Plot Number N. 1221 Up to</t>
        </is>
      </c>
      <c r="J83" s="14" t="inlineStr">
        <is>
          <t>Municipal Council Boundary Plot Number N. 1206 to Shri Bharat Chakole Of them House Up to</t>
        </is>
      </c>
      <c r="K83" s="14" t="inlineStr">
        <is>
          <t>Shri Hanuman Temple to Shri Hedavu Of them House from to Municipal Council Boundary Plot Number N. 1221 Up to</t>
        </is>
      </c>
      <c r="L83" s="15" t="n">
        <v>551</v>
      </c>
      <c r="M83" s="16">
        <f>L83*13/100</f>
        <v/>
      </c>
      <c r="N83" s="16">
        <f>L83+M83</f>
        <v/>
      </c>
      <c r="O83" s="34" t="n"/>
    </row>
    <row r="84" ht="54" customHeight="1" s="30">
      <c r="A84" s="36" t="n">
        <v>59</v>
      </c>
      <c r="B84" s="7" t="n">
        <v>2</v>
      </c>
      <c r="C84" s="37" t="n"/>
      <c r="D84" s="7" t="inlineStr">
        <is>
          <t>Prabhaga No. 19</t>
        </is>
      </c>
      <c r="E84" s="12" t="inlineStr">
        <is>
          <t>0019</t>
        </is>
      </c>
      <c r="F84" s="12" t="inlineStr">
        <is>
          <t>0057</t>
        </is>
      </c>
      <c r="G84" s="12" t="n"/>
      <c r="H84" s="14" t="inlineStr">
        <is>
          <t>Shri Lakshmi Granite and Tiles shop  from to ( old Sahare workshop ) Shri Dayaram Kiran General Stores Up to</t>
        </is>
      </c>
      <c r="I84" s="14" t="inlineStr">
        <is>
          <t>Shri Mohansing Thakura Of them House from to Shri Kinderle Dairy Up to Bayapas Road )</t>
        </is>
      </c>
      <c r="J84" s="14" t="inlineStr">
        <is>
          <t>Shri Mohansing Thakura Of them House from to Shri Lakshmi Granite and Tiles shop  Up to</t>
        </is>
      </c>
      <c r="K84" s="14" t="inlineStr">
        <is>
          <t>Shri Kinderle Dairy Bayapas Road ) to Shri Dayaram Kiran General Stores Up to</t>
        </is>
      </c>
      <c r="L84" s="15" t="n">
        <v>372</v>
      </c>
      <c r="M84" s="16">
        <f>L84*13/100</f>
        <v/>
      </c>
      <c r="N84" s="16">
        <f>L84+M84</f>
        <v/>
      </c>
      <c r="O84" s="34" t="n"/>
    </row>
    <row r="85" ht="102" customHeight="1" s="30">
      <c r="A85" s="36" t="n">
        <v>60</v>
      </c>
      <c r="B85" s="7" t="n">
        <v>3</v>
      </c>
      <c r="C85" s="37" t="n"/>
      <c r="D85" s="7" t="inlineStr">
        <is>
          <t>Prabhaga No. 20</t>
        </is>
      </c>
      <c r="E85" s="12" t="inlineStr">
        <is>
          <t>0020</t>
        </is>
      </c>
      <c r="F85" s="12" t="inlineStr">
        <is>
          <t>0061</t>
        </is>
      </c>
      <c r="G85" s="12" t="n"/>
      <c r="H85" s="14" t="inlineStr">
        <is>
          <t>Shri Tikaramji Bhure Of them House from to Maryada Gramin Bigger Sheti Pat Sanstha Mohadi Tumasara Up to</t>
        </is>
      </c>
      <c r="I85" s="14" t="inlineStr">
        <is>
          <t>Shri Padole Of them House from to Shri Gulab Budhe Of them House Up to</t>
        </is>
      </c>
      <c r="J85" s="14" t="inlineStr">
        <is>
          <t>Shri Tikaramji Bhure Of them House from to Straight By Road Shri Pramod Gharade Of them House to Shri Dinesh Nagapota Of them House In Front House to Road Across Shri Madavi Of them House to Straight By Road Shri Padole Of them House Up to ( Bayapas Road )</t>
        </is>
      </c>
      <c r="K85" s="14" t="inlineStr">
        <is>
          <t>Shri Gulab Budhe Of them House from to Straight By Road Maryada Gramin Bigger Sheti Pat Sanstha Mohadi Tumasara Up to</t>
        </is>
      </c>
      <c r="L85" s="15" t="n">
        <v>668</v>
      </c>
      <c r="M85" s="16">
        <f>L85*13/100</f>
        <v/>
      </c>
      <c r="N85" s="16">
        <f>L85+M85</f>
        <v/>
      </c>
      <c r="O85" s="34" t="n"/>
    </row>
    <row r="86" ht="54" customHeight="1" s="30">
      <c r="A86" s="36" t="n">
        <v>61</v>
      </c>
      <c r="B86" s="7" t="n">
        <v>4</v>
      </c>
      <c r="C86" s="37" t="n"/>
      <c r="D86" s="7" t="inlineStr">
        <is>
          <t>Prabhaga No. 21</t>
        </is>
      </c>
      <c r="E86" s="12" t="inlineStr">
        <is>
          <t>0021</t>
        </is>
      </c>
      <c r="F86" s="12" t="inlineStr">
        <is>
          <t>0063</t>
        </is>
      </c>
      <c r="G86" s="12" t="n"/>
      <c r="H86" s="14" t="inlineStr">
        <is>
          <t>Shri Harikripa Building New Bus Stad In Front to Straight Bhandara Rodani Vinoba Bhave Road corner ( Dudh Dairy ) Up to</t>
        </is>
      </c>
      <c r="I86" s="14" t="inlineStr">
        <is>
          <t>Mrs. Prabha Cimdhalore Of them House from to Bhandara Rodani Vinoba Bhave Road corner ( Dudh Dairy ) Up to</t>
        </is>
      </c>
      <c r="J86" s="14" t="inlineStr">
        <is>
          <t>Shri Chindhalore Bicycle Shop to Straight Rodani Mrs. Prabha Cimdhalore Of them House Up to</t>
        </is>
      </c>
      <c r="K86" s="14" t="inlineStr">
        <is>
          <t>Vinoba Bhave Road corner ( Dudh Dairy ) Up to</t>
        </is>
      </c>
      <c r="L86" s="15" t="n">
        <v>523</v>
      </c>
      <c r="M86" s="16">
        <f>L86*13/100</f>
        <v/>
      </c>
      <c r="N86" s="16">
        <f>L86+M86</f>
        <v/>
      </c>
      <c r="O86" s="34" t="n"/>
    </row>
    <row r="87" ht="108" customHeight="1" s="30">
      <c r="A87" s="36" t="n">
        <v>62</v>
      </c>
      <c r="B87" s="7" t="n">
        <v>5</v>
      </c>
      <c r="C87" s="37" t="n"/>
      <c r="D87" s="7" t="inlineStr">
        <is>
          <t>Prabhaga No. 21</t>
        </is>
      </c>
      <c r="E87" s="12" t="inlineStr">
        <is>
          <t>0021</t>
        </is>
      </c>
      <c r="F87" s="12" t="inlineStr">
        <is>
          <t>0068</t>
        </is>
      </c>
      <c r="G87" s="12" t="n"/>
      <c r="H87" s="14" t="inlineStr">
        <is>
          <t>Mathut Finance Company to Straight Vinoba Bhave Nagar Bayapas Road Ne Mrs. Mira Santosh Bhat Of them House Up to</t>
        </is>
      </c>
      <c r="I87" s="14" t="inlineStr">
        <is>
          <t>Tumasara Nagarapalika Karmachari Society Complex to Mrs. Sakiya Nur Ali Sayyad Of them House to Shri Ke B Goswami Dudh Dairy to Shri Ashok Lamjevara Of them House to Straight By Road Shri Shekhar Vaghaye Of them House to Mrs. Kamalabai Mahalgamve to Shri Ganesh Balpande Of them House to Shri Hanuman Temple Up to</t>
        </is>
      </c>
      <c r="J87" s="14" t="inlineStr">
        <is>
          <t>Shri Hanuman Temple to Shri Durgadasa Patle Of them House to Mrs. Mira Santosh Bhat Of them House Up to</t>
        </is>
      </c>
      <c r="K87" s="14" t="inlineStr">
        <is>
          <t>Mathut Finance Company to Straight Bhandara By Road Tumasara Nagarapalika Karmachari Society Complex Up to</t>
        </is>
      </c>
      <c r="L87" s="15" t="n">
        <v>750</v>
      </c>
      <c r="M87" s="16">
        <f>L87*13/100</f>
        <v/>
      </c>
      <c r="N87" s="16">
        <f>L87+M87</f>
        <v/>
      </c>
      <c r="O87" s="34" t="n"/>
    </row>
    <row r="88" ht="54" customHeight="1" s="30">
      <c r="A88" s="36" t="n">
        <v>63</v>
      </c>
      <c r="B88" s="7" t="n">
        <v>6</v>
      </c>
      <c r="C88" s="37" t="n"/>
      <c r="D88" s="7" t="inlineStr">
        <is>
          <t>Prabhaga No. 22</t>
        </is>
      </c>
      <c r="E88" s="12" t="inlineStr">
        <is>
          <t>0022</t>
        </is>
      </c>
      <c r="F88" s="12" t="inlineStr">
        <is>
          <t>0070</t>
        </is>
      </c>
      <c r="G88" s="12" t="n"/>
      <c r="H88" s="14" t="inlineStr">
        <is>
          <t>Shri Bakery Shri Rameshsing Thakura Of them House ) to Straight Bhandara Rodani Shri Sumit Medical Up to</t>
        </is>
      </c>
      <c r="I88" s="14" t="inlineStr">
        <is>
          <t>Shri Urkuda Sonar Of them House to Straight Municipal Council Rodani Shri Patil Of them Complex Up to</t>
        </is>
      </c>
      <c r="J88" s="14" t="inlineStr">
        <is>
          <t>Shri Bakery Shri Rameshsing Thakura Of them House ) to Shri Urkuda Sonar Of them House Up to</t>
        </is>
      </c>
      <c r="K88" s="14" t="inlineStr">
        <is>
          <t>Shri Patil Of them Complex to Straight Municipal Council By Road Shri Sumit Medical Stores Up to</t>
        </is>
      </c>
      <c r="L88" s="15" t="n">
        <v>698</v>
      </c>
      <c r="M88" s="16">
        <f>L88*13/100</f>
        <v/>
      </c>
      <c r="N88" s="16">
        <f>L88+M88</f>
        <v/>
      </c>
      <c r="O88" s="34" t="n"/>
    </row>
    <row r="89" ht="54" customHeight="1" s="30">
      <c r="A89" s="36" t="n">
        <v>64</v>
      </c>
      <c r="B89" s="7" t="n">
        <v>7</v>
      </c>
      <c r="C89" s="37" t="n"/>
      <c r="D89" s="7" t="inlineStr">
        <is>
          <t>Prabhaga No. 22</t>
        </is>
      </c>
      <c r="E89" s="12" t="inlineStr">
        <is>
          <t>0022</t>
        </is>
      </c>
      <c r="F89" s="12" t="inlineStr">
        <is>
          <t>0071</t>
        </is>
      </c>
      <c r="G89" s="12" t="n"/>
      <c r="H89" s="14" t="inlineStr">
        <is>
          <t>Shri Patil Of them House from to Shri Hiralal Sharma Of them House Up to</t>
        </is>
      </c>
      <c r="I89" s="14" t="inlineStr">
        <is>
          <t>Shri Dumbhare Of them Complex to Shri Bhure Of them House Up to</t>
        </is>
      </c>
      <c r="J89" s="14" t="inlineStr">
        <is>
          <t>Shri Hiralal Sharma Of them House from to Straight Municipal Council By Road Shri Ramesh Pande Of them House to Shri Bhure Of them House Up to</t>
        </is>
      </c>
      <c r="K89" s="14" t="inlineStr">
        <is>
          <t>Shri Patil Of them House from to Shri Dumbhare Of them Complex Up to</t>
        </is>
      </c>
      <c r="L89" s="15" t="n">
        <v>792</v>
      </c>
      <c r="M89" s="16">
        <f>L89*13/100</f>
        <v/>
      </c>
      <c r="N89" s="20">
        <f>L89+M89</f>
        <v/>
      </c>
      <c r="O89" s="34" t="n"/>
    </row>
    <row r="90" ht="54" customHeight="1" s="30">
      <c r="A90" s="36" t="n">
        <v>65</v>
      </c>
      <c r="B90" s="7" t="n">
        <v>8</v>
      </c>
      <c r="C90" s="37" t="n"/>
      <c r="D90" s="7" t="inlineStr">
        <is>
          <t>Prabhaga No. 22</t>
        </is>
      </c>
      <c r="E90" s="12" t="inlineStr">
        <is>
          <t>0022</t>
        </is>
      </c>
      <c r="F90" s="12" t="inlineStr">
        <is>
          <t>0072</t>
        </is>
      </c>
      <c r="G90" s="12" t="n"/>
      <c r="H90" s="14" t="inlineStr">
        <is>
          <t>Shri Shyamsundar Celebration Hall to Straight Vinoba Bhave Bayapas Rodani Shri Govardhan Dhande Of them House Up to</t>
        </is>
      </c>
      <c r="I90" s="14" t="inlineStr">
        <is>
          <t>Shri Hiralal Badavaika Of them House to Mrs. Vatsala Nagorav Bhongade Residence to Shri Shri Ram Anantaram Patle Of them House Up to</t>
        </is>
      </c>
      <c r="J90" s="14" t="inlineStr">
        <is>
          <t>Shri Shri Ram Anantaram Patle Of them House to Straight Municipal Council Rodani Shri Govardhan Dhande Of them House Up to</t>
        </is>
      </c>
      <c r="K90" s="14" t="inlineStr">
        <is>
          <t>Shri Shyamsundar Celebration Hall to Shri Mulchand Patle Of them House to Shri Maheza N Zemde Of them House to Shri Hiralal Badavaika Of them House Up to</t>
        </is>
      </c>
      <c r="L90" s="15" t="n">
        <v>486</v>
      </c>
      <c r="M90" s="16">
        <f>L90*13/100</f>
        <v/>
      </c>
      <c r="N90" s="16">
        <f>L90+M90</f>
        <v/>
      </c>
      <c r="O90" s="34" t="n"/>
    </row>
    <row r="91" ht="164.25" customHeight="1" s="30">
      <c r="A91" s="36" t="n">
        <v>66</v>
      </c>
      <c r="B91" s="7" t="n">
        <v>9</v>
      </c>
      <c r="C91" s="37" t="n"/>
      <c r="D91" s="7" t="inlineStr">
        <is>
          <t>Prabhaga No. 23</t>
        </is>
      </c>
      <c r="E91" s="12" t="inlineStr">
        <is>
          <t>0023</t>
        </is>
      </c>
      <c r="F91" s="12" t="inlineStr">
        <is>
          <t>0077</t>
        </is>
      </c>
      <c r="G91" s="12" t="n"/>
      <c r="H91" s="14" t="inlineStr">
        <is>
          <t>Bavanthadi Office near empty space from to Shri V N Vahile Of them House to Shri Lalaji Sadashiv Maske Of them House to Ma Chhafa Residence Shri Vachchil Of them House to Shri Giradhari Harilal Gabhane Of them House to Straight Municipal Council Rodani Shri Nishant Ramdas Gabhane Of them Gharapamryata</t>
        </is>
      </c>
      <c r="I91" s="13" t="inlineStr">
        <is>
          <t>Municipal Council Boundary Plot Number N. 1315 to Plot Number N. 1339 Up to</t>
        </is>
      </c>
      <c r="J91" s="14" t="inlineStr">
        <is>
          <t>Shri Nishant Ramdas Gabhane Of them House to Shri N B Chauhan Of them House to Shri Prakash Bisane Of them House to Shri Tarendra Dinkwar Of them House to Shri Vasant Keshavrao Yerane Of them House to Straight N. P. By Road Shri Atul Lamjevara Of them House to Shri Ashok Bondre Of them House to Shri Govind Tandekar Of them House to Mrs. Sunita Ramesh Kathote Of them House to Municipal Council Boundary Plot Number N. 1315 Up to</t>
        </is>
      </c>
      <c r="K91" s="14" t="inlineStr">
        <is>
          <t>Municipal Council Boundary Plot Number N. 1339 to Shri Dnyaneshwar Lakshman Thakre Of them House from to Shri Vasant Keshavrao Kahalakar Of them House to Shri Arun Guna Patle Of them House to Shri M Ke Khobragade ( Lakshmi Residence ) Of them House to Shri M S Dhurve Of them House to Bavanthadi Office to Office near empty space Up to</t>
        </is>
      </c>
      <c r="L91" s="15" t="n">
        <v>710</v>
      </c>
      <c r="M91" s="16">
        <f>L91*13/100</f>
        <v/>
      </c>
      <c r="N91" s="16">
        <f>L91+M91</f>
        <v/>
      </c>
      <c r="O91" s="34" t="n"/>
    </row>
    <row r="92" ht="18" customHeight="1" s="30">
      <c r="B92" s="34" t="n"/>
      <c r="C92" s="34" t="n"/>
      <c r="D92" s="34" t="n"/>
      <c r="E92" s="34" t="n"/>
      <c r="F92" s="34" t="n"/>
      <c r="G92" s="34" t="n"/>
      <c r="H92" s="34" t="n"/>
      <c r="I92" s="34" t="n"/>
      <c r="J92" s="34" t="n"/>
      <c r="K92" s="34" t="n"/>
      <c r="L92" s="104">
        <f>SUM(L83:L91)</f>
        <v/>
      </c>
      <c r="M92" s="20">
        <f>L92*13/100</f>
        <v/>
      </c>
      <c r="N92" s="105">
        <f>SUM(N83:N91)</f>
        <v/>
      </c>
      <c r="O92" s="34">
        <f>N92/750</f>
        <v/>
      </c>
    </row>
    <row r="93" ht="18.75" customHeight="1" s="30" thickBot="1">
      <c r="L93" s="106" t="n"/>
      <c r="M93" s="16">
        <f>L93*13/100</f>
        <v/>
      </c>
      <c r="N93" s="107" t="n"/>
    </row>
    <row r="94" ht="21" customHeight="1" s="30">
      <c r="B94" s="41" t="n"/>
      <c r="C94" s="42" t="n"/>
      <c r="D94" s="42" t="n"/>
      <c r="E94" s="42" t="n"/>
      <c r="F94" s="42" t="n"/>
      <c r="G94" s="42" t="n"/>
      <c r="H94" s="43" t="inlineStr">
        <is>
          <t>Prabhaga No. 11</t>
        </is>
      </c>
      <c r="I94" s="42" t="n"/>
      <c r="J94" s="42" t="n"/>
      <c r="K94" s="42" t="n"/>
      <c r="L94" s="42" t="n"/>
      <c r="M94" s="42" t="n"/>
      <c r="N94" s="42" t="n"/>
      <c r="O94" s="44" t="n"/>
    </row>
    <row r="95" ht="54" customHeight="1" s="30">
      <c r="A95" s="36" t="n">
        <v>67</v>
      </c>
      <c r="B95" s="6" t="n">
        <v>1</v>
      </c>
      <c r="C95" s="37" t="n">
        <v>11</v>
      </c>
      <c r="D95" s="7" t="inlineStr">
        <is>
          <t>Prabhaga No. 20</t>
        </is>
      </c>
      <c r="E95" s="12" t="inlineStr">
        <is>
          <t>0020</t>
        </is>
      </c>
      <c r="F95" s="12" t="inlineStr">
        <is>
          <t>0058</t>
        </is>
      </c>
      <c r="G95" s="12" t="n"/>
      <c r="H95" s="14" t="inlineStr">
        <is>
          <t>Bhandara Road Railway Chauki to Shri Devnath Navghare Of them House to Tumasara Town Railway Municipal Council Boundary Up to</t>
        </is>
      </c>
      <c r="I95" s="14" t="inlineStr">
        <is>
          <t>Shri Shri Ram Paint shop  from to Bhandara Road Hanuman Temple Up to</t>
        </is>
      </c>
      <c r="J95" s="14" t="inlineStr">
        <is>
          <t>Bhandara Road Railway Chauki to Hanuman Temple Up to</t>
        </is>
      </c>
      <c r="K95" s="14" t="inlineStr">
        <is>
          <t>Shri Devnath Navghare Of them House from to Shri Ram Paint Up to</t>
        </is>
      </c>
      <c r="L95" s="15" t="n">
        <v>578</v>
      </c>
      <c r="M95" s="16">
        <f>L95*13/100</f>
        <v/>
      </c>
      <c r="N95" s="16">
        <f>L95+M95</f>
        <v/>
      </c>
      <c r="O95" s="46" t="n"/>
    </row>
    <row r="96" ht="72" customHeight="1" s="30">
      <c r="A96" s="36" t="n">
        <v>68</v>
      </c>
      <c r="B96" s="6" t="n">
        <v>2</v>
      </c>
      <c r="C96" s="37" t="n">
        <v>11</v>
      </c>
      <c r="D96" s="7" t="inlineStr">
        <is>
          <t>Prabhaga No. 20</t>
        </is>
      </c>
      <c r="E96" s="12" t="inlineStr">
        <is>
          <t>0020</t>
        </is>
      </c>
      <c r="F96" s="12" t="inlineStr">
        <is>
          <t>0059</t>
        </is>
      </c>
      <c r="G96" s="12" t="n"/>
      <c r="H96" s="14" t="inlineStr">
        <is>
          <t>Shri D.N. Kapgate Of them House from to Shri Dongre Of them House Up to to Municipal Council Boundary</t>
        </is>
      </c>
      <c r="I96" s="14" t="inlineStr">
        <is>
          <t>Shri Shri Ram Paint shop  near empty Plot to Straight By Road Municipal Council Parkcha corner</t>
        </is>
      </c>
      <c r="J96" s="14" t="inlineStr">
        <is>
          <t>Shri D.N. Kapgate Of them House from to Municipal Council By Road Straight Shri Shri Ram Paint shop  near empty Plot Up to</t>
        </is>
      </c>
      <c r="K96" s="14" t="inlineStr">
        <is>
          <t>Municipal Council Parkcha corner from Straight By Road Shri Vishal Shamlal Suryavanshi Of them House to Straight By Road Shri Dongre Of them House Up to to Municipal Council Boundary</t>
        </is>
      </c>
      <c r="L96" s="15" t="n">
        <v>598</v>
      </c>
      <c r="M96" s="16">
        <f>L96*13/100</f>
        <v/>
      </c>
      <c r="N96" s="16">
        <f>L96+M96</f>
        <v/>
      </c>
      <c r="O96" s="46" t="n"/>
    </row>
    <row r="97" ht="72" customHeight="1" s="30">
      <c r="A97" s="36" t="n">
        <v>69</v>
      </c>
      <c r="B97" s="6" t="n">
        <v>3</v>
      </c>
      <c r="C97" s="37" t="n"/>
      <c r="D97" s="7" t="inlineStr">
        <is>
          <t>Prabhaga No. 20</t>
        </is>
      </c>
      <c r="E97" s="12" t="inlineStr">
        <is>
          <t>0020</t>
        </is>
      </c>
      <c r="F97" s="12" t="inlineStr">
        <is>
          <t>0060</t>
        </is>
      </c>
      <c r="G97" s="12" t="n"/>
      <c r="H97" s="14" t="inlineStr">
        <is>
          <t>Shri Sachin Kumbhare Of them House from to Municipal Council Boundary to Shri Ramteke Of them House Up to</t>
        </is>
      </c>
      <c r="I97" s="14" t="inlineStr">
        <is>
          <t>Shri Ambiladhuke Of them House near empty Plot to Straight Municipal Council By Road to Maharaja Tiles to Municipal Council Boundary Up to</t>
        </is>
      </c>
      <c r="J97" s="14" t="inlineStr">
        <is>
          <t>Shri Ambiladhuke Of them House near empty Plot to Straight By Road Shri Borkar Of them House to Road Across Shri Vinod Patil Of them House to Straight By Road Shri Ramteke Of them House Up to</t>
        </is>
      </c>
      <c r="K97" s="14" t="inlineStr">
        <is>
          <t>Shri Maharaja Tiles to Hasara near the Village Nagparishad Boundary to Railway Town Municipal Council Boundary Up to</t>
        </is>
      </c>
      <c r="L97" s="15" t="n">
        <v>650</v>
      </c>
      <c r="M97" s="16">
        <f>L97*13/100</f>
        <v/>
      </c>
      <c r="N97" s="16">
        <f>L97+M97</f>
        <v/>
      </c>
      <c r="O97" s="46" t="n"/>
    </row>
    <row r="98" ht="54" customHeight="1" s="30">
      <c r="A98" s="36" t="n">
        <v>70</v>
      </c>
      <c r="B98" s="6" t="n">
        <v>4</v>
      </c>
      <c r="C98" s="37" t="n"/>
      <c r="D98" s="7" t="inlineStr">
        <is>
          <t>Prabhaga No. 20</t>
        </is>
      </c>
      <c r="E98" s="12" t="inlineStr">
        <is>
          <t>0020</t>
        </is>
      </c>
      <c r="F98" s="12" t="inlineStr">
        <is>
          <t>0062</t>
        </is>
      </c>
      <c r="G98" s="12" t="n"/>
      <c r="H98" s="14" t="inlineStr">
        <is>
          <t>Shri Sneh Nagrik Pat Sanstha Baburao Talmale ) to Shri Agrawal Of them House to Municipal Council Park Up to</t>
        </is>
      </c>
      <c r="I98" s="14" t="inlineStr">
        <is>
          <t>Shri Sneh Nagrik Pat Sanstha Baburao Talmale ) to Straight Bhandara Rodani New Bus Stand Toka Up to</t>
        </is>
      </c>
      <c r="J98" s="14" t="inlineStr">
        <is>
          <t>Shri Sneh Nagrik Pat Sanstha Baburao Talmale )</t>
        </is>
      </c>
      <c r="K98" s="14" t="inlineStr">
        <is>
          <t>New Bus Stand Toka from to Straight Rodani Municipal Council Park to Shri Govind Agrawal Of them House Up to</t>
        </is>
      </c>
      <c r="L98" s="15" t="n">
        <v>787</v>
      </c>
      <c r="M98" s="16">
        <f>L98*13/100</f>
        <v/>
      </c>
      <c r="N98" s="16">
        <f>L98+M98</f>
        <v/>
      </c>
      <c r="O98" s="46" t="n"/>
    </row>
    <row r="99" ht="108" customHeight="1" s="30">
      <c r="A99" s="36" t="n">
        <v>71</v>
      </c>
      <c r="B99" s="6" t="n">
        <v>5</v>
      </c>
      <c r="C99" s="37" t="n"/>
      <c r="D99" s="7" t="inlineStr">
        <is>
          <t>Prabhaga No. 21</t>
        </is>
      </c>
      <c r="E99" s="12" t="inlineStr">
        <is>
          <t>0021</t>
        </is>
      </c>
      <c r="F99" s="12" t="inlineStr">
        <is>
          <t>0064</t>
        </is>
      </c>
      <c r="G99" s="12" t="n"/>
      <c r="H99" s="14" t="inlineStr">
        <is>
          <t>Shri Patel Multi Specialist Surgical Piles Clinic to Shri Amar Mohanani Of them House Up to</t>
        </is>
      </c>
      <c r="I99" s="14" t="inlineStr">
        <is>
          <t>Shri Matoshri Complex near Petrol Pump to Bank Off India Up to</t>
        </is>
      </c>
      <c r="J99" s="14" t="inlineStr">
        <is>
          <t>Shri Patel Multi Specialist Surgical Piles Clinic to Shri Matoshri Complex near Petrol Pump</t>
        </is>
      </c>
      <c r="K99" s="14" t="inlineStr">
        <is>
          <t>Shri Amar Mohanani Of them House from to Shri Ramakrishna Rathod to Shri Gajanan Maharaj Chaukajavalil Shri Yuvraj Agasse Of them House to Prashant Refrigerator Shop to Shri Devaravji Gayadhane Of them House to Straight By Road Bank Off India to Bhandara Road Lagatsima Up to</t>
        </is>
      </c>
      <c r="L99" s="15" t="n">
        <v>529</v>
      </c>
      <c r="M99" s="16">
        <f>L99*13/100</f>
        <v/>
      </c>
      <c r="N99" s="16">
        <f>L99+M99</f>
        <v/>
      </c>
      <c r="O99" s="46" t="n"/>
    </row>
    <row r="100" ht="126" customHeight="1" s="30">
      <c r="A100" s="36" t="n">
        <v>72</v>
      </c>
      <c r="B100" s="6" t="n">
        <v>6</v>
      </c>
      <c r="C100" s="37" t="n">
        <v>12</v>
      </c>
      <c r="D100" s="7" t="inlineStr">
        <is>
          <t>Prabhaga No. 21</t>
        </is>
      </c>
      <c r="E100" s="12" t="inlineStr">
        <is>
          <t>0021</t>
        </is>
      </c>
      <c r="F100" s="12" t="inlineStr">
        <is>
          <t>0065</t>
        </is>
      </c>
      <c r="G100" s="12" t="n"/>
      <c r="H100" s="14" t="inlineStr">
        <is>
          <t>Shri Yu M Deshmukh Of them House to Mrs. Shantabai Karemore Aay T Aay near Complex shop  Up to</t>
        </is>
      </c>
      <c r="I100" s="14" t="inlineStr">
        <is>
          <t>Shri Chandrashekhar Khobragade Of them House to Shanti Convent School to Shri Ramesh Padole Of them House to Straight By Road Ankit Marble to Indian Overseas Bank Up to</t>
        </is>
      </c>
      <c r="J100" s="14" t="inlineStr">
        <is>
          <t>Indian Overseas Bank to Shri Naresh Chauragade Of them House to Straight By Road Gajanan Chauk near Jayant Art to Road Across Shri Singh Of them House to empty Plot to Shri Bharat GyaniRam Thakre Of them House to Road Olandun Shri Ashok Marotrav Mankar Of them House to Shri Yu M Deshmukh Of them House Up to</t>
        </is>
      </c>
      <c r="K100" s="14" t="inlineStr">
        <is>
          <t>Mrs. Shantabai Karemore Aay T Aay near Complex Shop to Nagamandir to Straight By Road Shri Kailash Ishwardayalji Thakre Of them House to Shri Chandrashekhar Khobragade Of them House Up to</t>
        </is>
      </c>
      <c r="L100" s="15" t="n">
        <v>700</v>
      </c>
      <c r="M100" s="16">
        <f>L100*13/100</f>
        <v/>
      </c>
      <c r="N100" s="16">
        <f>L100+M100</f>
        <v/>
      </c>
      <c r="O100" s="46" t="n"/>
    </row>
    <row r="101" ht="126" customHeight="1" s="30">
      <c r="A101" s="36" t="n">
        <v>73</v>
      </c>
      <c r="B101" s="6" t="n">
        <v>7</v>
      </c>
      <c r="C101" s="37" t="n"/>
      <c r="D101" s="7" t="inlineStr">
        <is>
          <t>Prabhaga No. 21</t>
        </is>
      </c>
      <c r="E101" s="12" t="inlineStr">
        <is>
          <t>0021</t>
        </is>
      </c>
      <c r="F101" s="12" t="inlineStr">
        <is>
          <t>0066</t>
        </is>
      </c>
      <c r="G101" s="12" t="n"/>
      <c r="H101" s="14" t="inlineStr">
        <is>
          <t>Mrs. Shantabai Karemore Aay T Aay near Complex shop  near Road Across Ujavi Kade empty Plot to Straight Tumasara Hasara Rodani Shri Dongre Decoration to Shri Sai Guest House to Municipal Council Boundary Plot Number N. 1438 Up to</t>
        </is>
      </c>
      <c r="I101" s="14" t="inlineStr">
        <is>
          <t>Shri Ramesh Paradhi Of them House from to Shri Vishal R Lade to Straight By Road Mrs. Chhaya Zemde Of them House to Hasara Road Municipal Council Boundary Plot Number N. 1436 Up to</t>
        </is>
      </c>
      <c r="J101" s="14" t="inlineStr">
        <is>
          <t>Shri Ramesh Paradhi Of them House to Shri Kishor Harishchandra Rahangadale to Straight By Road Urmila Residence to Municipal Council Road Olandun Shri Rajaram Somaji Titiramare Of them House to Mrs. Shantabai Karemore Aay T Aay near Complex shop  near Road Across Ujavi Kade empty Plot Up to</t>
        </is>
      </c>
      <c r="K101" s="14" t="inlineStr">
        <is>
          <t>Shri Sai Guest House to Municipal Council Boundary Plot Number N. 1438 to Plot Number N. 1436 Up to</t>
        </is>
      </c>
      <c r="L101" s="15" t="n">
        <v>750</v>
      </c>
      <c r="M101" s="16">
        <f>L101*13/100</f>
        <v/>
      </c>
      <c r="N101" s="16">
        <f>L101+M101</f>
        <v/>
      </c>
      <c r="O101" s="46" t="n"/>
    </row>
    <row r="102" ht="72" customHeight="1" s="30">
      <c r="A102" s="36" t="n">
        <v>74</v>
      </c>
      <c r="B102" s="6" t="n">
        <v>8</v>
      </c>
      <c r="C102" s="7" t="n">
        <v>67</v>
      </c>
      <c r="D102" s="7" t="inlineStr">
        <is>
          <t>Prabhaga No. 21</t>
        </is>
      </c>
      <c r="E102" s="12" t="inlineStr">
        <is>
          <t>0021</t>
        </is>
      </c>
      <c r="F102" s="12" t="inlineStr">
        <is>
          <t>0067</t>
        </is>
      </c>
      <c r="G102" s="12" t="n"/>
      <c r="H102" s="14" t="inlineStr">
        <is>
          <t>Shri Malevara Of them House from to Straight By Road Shri Padole Of them House to Shri Shekhahai Turak Of them House to Tumasara Hasara Road Municipal Council Boundary Up to</t>
        </is>
      </c>
      <c r="I102" s="14" t="inlineStr">
        <is>
          <t>Shri Bisane Hotel to Straight Municipal Council By Road Tumasara Hasara Road Municipal Council Boundary Up to</t>
        </is>
      </c>
      <c r="J102" s="14" t="inlineStr">
        <is>
          <t>Shri Malevara Of them House from to Straight Bhandara By Road Shri Bisane Hotel Up to</t>
        </is>
      </c>
      <c r="K102" s="94" t="inlineStr">
        <is>
          <t>Tumasara Hasara Road Municipal Council Boundary Up to</t>
        </is>
      </c>
      <c r="L102" s="15" t="n">
        <v>413</v>
      </c>
      <c r="M102" s="16">
        <f>L102*13/100</f>
        <v/>
      </c>
      <c r="N102" s="16">
        <f>L102+M102</f>
        <v/>
      </c>
      <c r="O102" s="108" t="n"/>
    </row>
    <row r="103" ht="18.75" customHeight="1" s="30" thickBot="1">
      <c r="B103" s="55" t="n"/>
      <c r="C103" s="56" t="n"/>
      <c r="D103" s="56" t="n"/>
      <c r="E103" s="56" t="n"/>
      <c r="F103" s="56" t="n"/>
      <c r="G103" s="56" t="n"/>
      <c r="H103" s="56" t="n"/>
      <c r="I103" s="56" t="n"/>
      <c r="J103" s="56" t="n"/>
      <c r="K103" s="56" t="n"/>
      <c r="L103" s="75">
        <f>SUM(L95:L102)</f>
        <v/>
      </c>
      <c r="M103" s="20">
        <f>L103*13/100</f>
        <v/>
      </c>
      <c r="N103" s="76">
        <f>SUM(N95:N102)</f>
        <v/>
      </c>
      <c r="O103" s="77">
        <f>N103/750</f>
        <v/>
      </c>
    </row>
    <row r="104">
      <c r="L104" s="60" t="n"/>
      <c r="M104" s="61" t="n"/>
      <c r="N104" s="61" t="n"/>
      <c r="O104" s="103" t="n"/>
    </row>
    <row r="105" ht="21" customHeight="1" s="30">
      <c r="B105" s="34" t="n"/>
      <c r="C105" s="34" t="n"/>
      <c r="D105" s="34" t="n"/>
      <c r="E105" s="34" t="n"/>
      <c r="F105" s="34" t="n"/>
      <c r="G105" s="34" t="n"/>
      <c r="H105" s="35" t="inlineStr">
        <is>
          <t>Prabhaga No. 12</t>
        </is>
      </c>
      <c r="I105" s="34" t="n"/>
      <c r="J105" s="34" t="n"/>
      <c r="K105" s="34" t="n"/>
      <c r="L105" s="34" t="n"/>
      <c r="M105" s="34" t="n"/>
      <c r="N105" s="34" t="n"/>
      <c r="O105" s="34" t="n"/>
    </row>
    <row r="106" ht="108" customHeight="1" s="30">
      <c r="A106" s="36" t="n">
        <v>75</v>
      </c>
      <c r="B106" s="7" t="n">
        <v>1</v>
      </c>
      <c r="C106" s="37" t="n">
        <v>12</v>
      </c>
      <c r="D106" s="7" t="inlineStr">
        <is>
          <t>Prabhaga No. 23</t>
        </is>
      </c>
      <c r="E106" s="12" t="inlineStr">
        <is>
          <t>0023</t>
        </is>
      </c>
      <c r="F106" s="12" t="inlineStr">
        <is>
          <t>0073</t>
        </is>
      </c>
      <c r="G106" s="12" t="n"/>
      <c r="H106" s="14" t="inlineStr">
        <is>
          <t>Shri Gabhane Sabhagrha to Straight Municipal Council By Road Shri Shivraj Gaupale Of them House to Shri Khushal Nagardhane Of them House to Shri Kailash Dhomane Of them House to Mrs. Mina Vinod Mane Of them House to Hasara Road Adjacent Municipal Council Boundary Plot Number N. 1393 Up to</t>
        </is>
      </c>
      <c r="I106" s="14" t="inlineStr">
        <is>
          <t>Shri Med Plus Medical Shop to Kopyache empty Plot to Shri Vijay Rahagadale Of them House to Shri Vijay Shahare Of them Gharasameril House to Shri Mishra Of them House to Shri Kamaleshwar Bamhanote Of them House to Hasara Road Adjacent Municipal Council Boundary Plot Number N. 1392 Up to</t>
        </is>
      </c>
      <c r="J106" s="14" t="inlineStr">
        <is>
          <t>Shri Gabhane Sabhagrha to Shri Med Plus Medical Shop Up to</t>
        </is>
      </c>
      <c r="K106" s="14" t="inlineStr">
        <is>
          <t>Hasara Road Adjacent Municipal Council Boundary Plot Number N. 1393 to Plot Number N. 1392 Up to</t>
        </is>
      </c>
      <c r="L106" s="15" t="n">
        <v>680</v>
      </c>
      <c r="M106" s="16">
        <f>L106*13/100</f>
        <v/>
      </c>
      <c r="N106" s="16">
        <f>L106+M106</f>
        <v/>
      </c>
      <c r="O106" s="34" t="n"/>
    </row>
    <row r="107" ht="72" customHeight="1" s="30">
      <c r="A107" s="36" t="n">
        <v>76</v>
      </c>
      <c r="B107" s="7" t="n">
        <v>2</v>
      </c>
      <c r="C107" s="37" t="n"/>
      <c r="D107" s="7" t="inlineStr">
        <is>
          <t>Prabhaga No. 23</t>
        </is>
      </c>
      <c r="E107" s="12" t="inlineStr">
        <is>
          <t>0023</t>
        </is>
      </c>
      <c r="F107" s="12" t="inlineStr">
        <is>
          <t>0074</t>
        </is>
      </c>
      <c r="G107" s="12" t="n"/>
      <c r="H107" s="14" t="inlineStr">
        <is>
          <t>Shri Vijay Shahare Of them House to Shri E.J. Rangari Of them House to Shri Lekhram Dharmaji Hedavu Of them House to Shri Habit Unisex Salon Up to</t>
        </is>
      </c>
      <c r="I107" s="14" t="inlineStr">
        <is>
          <t>Shri Suresh Bhat Of them House near empty Plot to Straight Municipal Council By Road Gajanan Nagritil Shri Ganesh Meher Of them back side Shri Dolas Of them House to Hasara Road Adjacent Municipal Council Boundary Plot Number N. 1389 Up to</t>
        </is>
      </c>
      <c r="J107" s="14" t="inlineStr">
        <is>
          <t>Shri Habit Unisex Salon to Shri Suresh Bhat Of them House near empty Plot Up to</t>
        </is>
      </c>
      <c r="K107" s="14" t="inlineStr">
        <is>
          <t>Hasara Road Adjacent Municipal Council Boundary Plot Number N. 1389 Up to</t>
        </is>
      </c>
      <c r="L107" s="15" t="n">
        <v>730</v>
      </c>
      <c r="M107" s="16">
        <f>L107*13/100</f>
        <v/>
      </c>
      <c r="N107" s="16">
        <f>L107+M107</f>
        <v/>
      </c>
      <c r="O107" s="34" t="n"/>
    </row>
    <row r="108" ht="126" customHeight="1" s="30">
      <c r="A108" s="36" t="n">
        <v>77</v>
      </c>
      <c r="B108" s="7" t="n">
        <v>3</v>
      </c>
      <c r="C108" s="37" t="n"/>
      <c r="D108" s="7" t="inlineStr">
        <is>
          <t>Prabhaga No. 23</t>
        </is>
      </c>
      <c r="E108" s="12" t="inlineStr">
        <is>
          <t>0023</t>
        </is>
      </c>
      <c r="F108" s="12" t="inlineStr">
        <is>
          <t>0075</t>
        </is>
      </c>
      <c r="G108" s="12" t="n"/>
      <c r="H108" s="14" t="inlineStr">
        <is>
          <t>Hasara Road Adjacent Municipal Council Boundary Plot Number N. 1392 to Gajanan Nagratil Shri Avinash Vishwanath Dudhalkar to Shri Nikunj Bihari Lamjevara Of them House to Straight Municipal Council By Road Mrs. Manisha Kapgate Of them House to Bhandara Road Adjacent Shri Sai Nath Tenders Up to</t>
        </is>
      </c>
      <c r="I108" s="14" t="inlineStr">
        <is>
          <t>Bhandara Road Adjacent Municipal Council Boundary to Lumbini Matimand Mula daughter's Nivasi Karmashala to Vikram Palesh Hotel to Smile Multiplex Up to</t>
        </is>
      </c>
      <c r="J108" s="14" t="inlineStr">
        <is>
          <t>Shri Sai Nath Tenders to Straight Bhandara Rodani Mateshri Suzuki Showroom to Bhandara Road Adjacent Municipal Council Simantkhasra N. 1350 Up to</t>
        </is>
      </c>
      <c r="K108" s="14" t="inlineStr">
        <is>
          <t>Hasara Road Adjacent Municipal Council Boundary Plot Number N. 1392</t>
        </is>
      </c>
      <c r="L108" s="15" t="n">
        <v>755</v>
      </c>
      <c r="M108" s="16">
        <f>L108*13/100</f>
        <v/>
      </c>
      <c r="N108" s="20">
        <f>L108+M108</f>
        <v/>
      </c>
      <c r="O108" s="34" t="n"/>
    </row>
    <row r="109" ht="90" customHeight="1" s="30">
      <c r="A109" s="36" t="n">
        <v>78</v>
      </c>
      <c r="B109" s="7" t="n">
        <v>4</v>
      </c>
      <c r="C109" s="37" t="n"/>
      <c r="D109" s="7" t="inlineStr">
        <is>
          <t>Prabhaga No. 23</t>
        </is>
      </c>
      <c r="E109" s="12" t="inlineStr">
        <is>
          <t>0023</t>
        </is>
      </c>
      <c r="F109" s="12" t="inlineStr">
        <is>
          <t>0076</t>
        </is>
      </c>
      <c r="G109" s="12" t="n"/>
      <c r="H109" s="14" t="inlineStr">
        <is>
          <t>Vinoba Nagar Reliance Smart Bajar near empty Plot to Municipal Council Water Tank to Shri Damahe Saree Center Up to</t>
        </is>
      </c>
      <c r="I109" s="14" t="inlineStr">
        <is>
          <t>Shri Haridas Paradhi Anukunj Building Of them House to Shri Chandrakant Bhat Of them House In Front Kridangan Playground to Shri Maheza Potbhare Of them House to Shri R S Chaure Of them House to Shakuntala Sabhagrha Up to</t>
        </is>
      </c>
      <c r="J109" s="14" t="inlineStr">
        <is>
          <t>Shri Damahe Saree Center to Shri Shalikaram Borkar Of them House to Bavanthadi Rest House to Shri B P Paradhi Of them House to Shri Simes to Shri Ashok Sarve Of them House to Shri Haridas Paradhi Anukunj Building Up to</t>
        </is>
      </c>
      <c r="K109" s="14" t="inlineStr">
        <is>
          <t>Shakuntala Sabhagrha to Shri Gadewar Hospital to Reliance Smart Bajar to Bajar near empty Plot Up to</t>
        </is>
      </c>
      <c r="L109" s="15" t="n">
        <v>825</v>
      </c>
      <c r="M109" s="16">
        <f>L109*13/100</f>
        <v/>
      </c>
      <c r="N109" s="20">
        <f>L109+M109</f>
        <v/>
      </c>
      <c r="O109" s="34" t="n"/>
    </row>
    <row r="110" ht="90" customHeight="1" s="30">
      <c r="A110" s="36" t="n">
        <v>79</v>
      </c>
      <c r="B110" s="7" t="n">
        <v>5</v>
      </c>
      <c r="C110" s="37" t="n"/>
      <c r="D110" s="7" t="inlineStr">
        <is>
          <t>Prabhaga No. 23</t>
        </is>
      </c>
      <c r="E110" s="12" t="inlineStr">
        <is>
          <t>0023</t>
        </is>
      </c>
      <c r="F110" s="12" t="inlineStr">
        <is>
          <t>0078</t>
        </is>
      </c>
      <c r="G110" s="12" t="n"/>
      <c r="H110" s="14" t="inlineStr">
        <is>
          <t>Shri Gajanan Gruhnirman Society Complex</t>
        </is>
      </c>
      <c r="I110" s="14" t="inlineStr">
        <is>
          <t>Magali Village Adjacent Municipal Council Sima Plot Number N. 1099 to Plot Number N. 1345 Up to</t>
        </is>
      </c>
      <c r="J110" s="14" t="inlineStr">
        <is>
          <t>Shri Maheture Of them House to Shri S Pande Of them House to Straight Municipal Council By Road Shri Shri Asaram G Ramteke Of them House to Shri Tukaram Bandebuche Of them House to Shri Agasse Of them House to Shri Gajanan Gruh Nirman Society Up to</t>
        </is>
      </c>
      <c r="K110" s="14" t="inlineStr">
        <is>
          <t>Magali Village Adjacent Municipal Council Sima Plot Number No. 1099 to New Krushi Bajar Samiti to Shri Selokar Of them Complex to Straight Bhandara By Road Shri Gajanan Gruh Nirman Society Up to</t>
        </is>
      </c>
      <c r="L110" s="15" t="n">
        <v>735</v>
      </c>
      <c r="M110" s="16">
        <f>L110*13/100</f>
        <v/>
      </c>
      <c r="N110" s="16">
        <f>L110+M110</f>
        <v/>
      </c>
      <c r="O110" s="34" t="n"/>
    </row>
    <row r="111" ht="90" customHeight="1" s="30">
      <c r="A111" s="36" t="n">
        <v>80</v>
      </c>
      <c r="B111" s="7" t="n">
        <v>6</v>
      </c>
      <c r="C111" s="37" t="n"/>
      <c r="D111" s="7" t="inlineStr">
        <is>
          <t>Prabhaga No. 23</t>
        </is>
      </c>
      <c r="E111" s="12" t="inlineStr">
        <is>
          <t>0023</t>
        </is>
      </c>
      <c r="F111" s="12" t="inlineStr">
        <is>
          <t>0079</t>
        </is>
      </c>
      <c r="G111" s="12" t="n"/>
      <c r="H111" s="14" t="inlineStr">
        <is>
          <t>Shri Rajaram Lawns to Shri Yerane Plywood And Glass Godavun to Shri Chandrakant Bhat Of them House to Straight By Road Pitrcchaya Residence near empty Plot Up to</t>
        </is>
      </c>
      <c r="I111" s="14" t="inlineStr">
        <is>
          <t>Magali Village Adjacent Municipal Council Sima Plot Number N. 1340 to Plot Number N. 1343 Up to</t>
        </is>
      </c>
      <c r="J111" s="14" t="inlineStr">
        <is>
          <t>Pitrcchaya Residence near empty Plot to Mrs. Pushpa Turkar Of them House to Shri Nitin Patle Of them House to Shri Vinod Patle Of them House to Straight By Road Shri Mukesh Ta Singade Of them House to Nagar Parishad Boundary Plot Number N. 1340 Up to</t>
        </is>
      </c>
      <c r="K111" s="14" t="inlineStr">
        <is>
          <t>Nagar Parishad Boundary Plot Number N. 1343 to Narmada R O to Shri Shivcharan Agrawal Of them House to Shri M S Dongre Of them House to Shri Shaileshkumar Pande Of them House to Shri Ramdayal Paradhi Of them House to Shri Rajaram Lawns Up to</t>
        </is>
      </c>
      <c r="L111" s="15" t="n">
        <v>765</v>
      </c>
      <c r="M111" s="16">
        <f>L111*13/100</f>
        <v/>
      </c>
      <c r="N111" s="16">
        <f>L111+M111</f>
        <v/>
      </c>
      <c r="O111" s="34" t="n"/>
    </row>
    <row r="112" ht="18" customHeight="1" s="30">
      <c r="B112" s="34" t="n"/>
      <c r="C112" s="34" t="n"/>
      <c r="D112" s="34" t="n"/>
      <c r="E112" s="34" t="n"/>
      <c r="F112" s="34" t="n"/>
      <c r="G112" s="34" t="n"/>
      <c r="H112" s="34" t="n"/>
      <c r="I112" s="34" t="n"/>
      <c r="J112" s="34" t="n"/>
      <c r="K112" s="34" t="n"/>
      <c r="L112" s="104">
        <f>SUM(L106:L111)</f>
        <v/>
      </c>
      <c r="M112" s="20">
        <f>L112*13/100</f>
        <v/>
      </c>
      <c r="N112" s="105">
        <f>SUM(N106:N111)</f>
        <v/>
      </c>
      <c r="O112" s="109">
        <f>N112/750</f>
        <v/>
      </c>
    </row>
    <row r="113">
      <c r="B113" s="34" t="n"/>
      <c r="C113" s="34" t="n"/>
      <c r="D113" s="34" t="n"/>
      <c r="E113" s="34" t="n"/>
      <c r="F113" s="34" t="n"/>
      <c r="G113" s="34" t="n"/>
      <c r="H113" s="34" t="n"/>
      <c r="I113" s="34" t="n"/>
      <c r="J113" s="34" t="n"/>
      <c r="K113" s="34" t="n"/>
      <c r="L113" s="34" t="n"/>
      <c r="M113" s="34" t="n"/>
      <c r="N113" s="34" t="n"/>
      <c r="O113" s="93">
        <f>SUM(O2:O112)</f>
        <v/>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dcterms:created xsi:type="dcterms:W3CDTF">2026-04-08T14:04:33Z</dcterms:created>
  <dcterms:modified xsi:type="dcterms:W3CDTF">2026-04-10T12:00:01Z</dcterms:modified>
  <cp:lastModifiedBy>LENOVO</cp:lastModifiedBy>
</cp:coreProperties>
</file>